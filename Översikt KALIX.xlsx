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46256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46256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46256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46256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46256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46256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46256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46256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46256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46256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46256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46256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46256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46256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46256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46256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46256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26975-2026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46256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26975-2026 artfynd.xlsx", "A 26975-2026")</f>
        <v/>
      </c>
      <c r="X28">
        <f>HYPERLINK("https://klasma.github.io/Logging_2514/kartor/A 26975-2026 karta.png", "A 26975-2026")</f>
        <v/>
      </c>
      <c r="Y28">
        <f>HYPERLINK("https://klasma.github.io/Logging_2514/kartor_geotiff/A 26975-2026 georefererad karta.tif", "A 26975-2026")</f>
        <v/>
      </c>
      <c r="AA28">
        <f>HYPERLINK("https://klasma.github.io/Logging_2514/klagomål/A 26975-2026 FSC-klagomål.docx", "A 26975-2026")</f>
        <v/>
      </c>
      <c r="AB28">
        <f>HYPERLINK("https://klasma.github.io/Logging_2514/klagomålsmail/A 26975-2026 FSC-klagomål mail.docx", "A 26975-2026")</f>
        <v/>
      </c>
      <c r="AC28">
        <f>HYPERLINK("https://klasma.github.io/Logging_2514/tillsyn/A 26975-2026 tillsynsbegäran.docx", "A 26975-2026")</f>
        <v/>
      </c>
      <c r="AD28">
        <f>HYPERLINK("https://klasma.github.io/Logging_2514/tillsynsmail/A 26975-2026 tillsynsbegäran mail.docx", "A 26975-2026")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46256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HYPERLINK("https://klasma.github.io/Logging_2514/artfynd/A 21552-2023 artfynd.xlsx", "A 21552-2023")</f>
        <v/>
      </c>
      <c r="X29">
        <f>HYPERLINK("https://klasma.github.io/Logging_2514/kartor/A 21552-2023 karta.png", "A 21552-2023")</f>
        <v/>
      </c>
      <c r="Y29">
        <f>HYPERLINK("https://klasma.github.io/Logging_2514/kartor_geotiff/A 21552-2023 georefererad karta.tif", "A 21552-2023")</f>
        <v/>
      </c>
      <c r="AA29">
        <f>HYPERLINK("https://klasma.github.io/Logging_2514/klagomål/A 21552-2023 FSC-klagomål.docx", "A 21552-2023")</f>
        <v/>
      </c>
      <c r="AB29">
        <f>HYPERLINK("https://klasma.github.io/Logging_2514/klagomålsmail/A 21552-2023 FSC-klagomål mail.docx", "A 21552-2023")</f>
        <v/>
      </c>
      <c r="AC29">
        <f>HYPERLINK("https://klasma.github.io/Logging_2514/tillsyn/A 21552-2023 tillsynsbegäran.docx", "A 21552-2023")</f>
        <v/>
      </c>
      <c r="AD29">
        <f>HYPERLINK("https://klasma.github.io/Logging_2514/tillsynsmail/A 21552-2023 tillsynsbegäran mail.docx", "A 21552-2023")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46256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32353-2026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46238</v>
      </c>
      <c r="E31" s="1" t="n">
        <v>46256</v>
      </c>
      <c r="F31" t="inlineStr">
        <is>
          <t>NORRBOTTENS LÄN</t>
        </is>
      </c>
      <c r="G31" t="inlineStr">
        <is>
          <t>KALIX</t>
        </is>
      </c>
      <c r="H31" t="inlineStr">
        <is>
          <t>Kyrkan</t>
        </is>
      </c>
      <c r="I31" t="n">
        <v>9.6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Plattlummer</t>
        </is>
      </c>
      <c r="W31">
        <f>HYPERLINK("https://klasma.github.io/Logging_2514/artfynd/A 32353-2026 artfynd.xlsx", "A 32353-2026")</f>
        <v/>
      </c>
      <c r="X31">
        <f>HYPERLINK("https://klasma.github.io/Logging_2514/kartor/A 32353-2026 karta.png", "A 32353-2026")</f>
        <v/>
      </c>
      <c r="Y31">
        <f>HYPERLINK("https://klasma.github.io/Logging_2514/kartor_geotiff/A 32353-2026 georefererad karta.tif", "A 32353-2026")</f>
        <v/>
      </c>
      <c r="AA31">
        <f>HYPERLINK("https://klasma.github.io/Logging_2514/klagomål/A 32353-2026 FSC-klagomål.docx", "A 32353-2026")</f>
        <v/>
      </c>
      <c r="AB31">
        <f>HYPERLINK("https://klasma.github.io/Logging_2514/klagomålsmail/A 32353-2026 FSC-klagomål mail.docx", "A 32353-2026")</f>
        <v/>
      </c>
      <c r="AC31">
        <f>HYPERLINK("https://klasma.github.io/Logging_2514/tillsyn/A 32353-2026 tillsynsbegäran.docx", "A 32353-2026")</f>
        <v/>
      </c>
      <c r="AD31">
        <f>HYPERLINK("https://klasma.github.io/Logging_2514/tillsynsmail/A 32353-2026 tillsynsbegäran mail.docx", "A 32353-2026")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46256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46256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46256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20584-2026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46256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8.6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Stuplav</t>
        </is>
      </c>
      <c r="W35">
        <f>HYPERLINK("https://klasma.github.io/Logging_2514/artfynd/A 20584-2026 artfynd.xlsx", "A 20584-2026")</f>
        <v/>
      </c>
      <c r="X35">
        <f>HYPERLINK("https://klasma.github.io/Logging_2514/kartor/A 20584-2026 karta.png", "A 20584-2026")</f>
        <v/>
      </c>
      <c r="Y35">
        <f>HYPERLINK("https://klasma.github.io/Logging_2514/kartor_geotiff/A 20584-2026 georefererad karta.tif", "A 20584-2026")</f>
        <v/>
      </c>
      <c r="AA35">
        <f>HYPERLINK("https://klasma.github.io/Logging_2514/klagomål/A 20584-2026 FSC-klagomål.docx", "A 20584-2026")</f>
        <v/>
      </c>
      <c r="AB35">
        <f>HYPERLINK("https://klasma.github.io/Logging_2514/klagomålsmail/A 20584-2026 FSC-klagomål mail.docx", "A 20584-2026")</f>
        <v/>
      </c>
      <c r="AC35">
        <f>HYPERLINK("https://klasma.github.io/Logging_2514/tillsyn/A 20584-2026 tillsynsbegäran.docx", "A 20584-2026")</f>
        <v/>
      </c>
      <c r="AD35">
        <f>HYPERLINK("https://klasma.github.io/Logging_2514/tillsynsmail/A 20584-2026 tillsynsbegäran mail.docx", "A 20584-2026")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46256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46256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46256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46256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46256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46256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46256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46256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46256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46256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46256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46256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46256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46256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46256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46256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46256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46256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46256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46256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46256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46256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46256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46256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46256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46256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46256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46256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46256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46256</v>
      </c>
      <c r="F66" t="inlineStr">
        <is>
          <t>NORRBOTTENS LÄN</t>
        </is>
      </c>
      <c r="G66" t="inlineStr">
        <is>
          <t>KALIX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44785</v>
      </c>
      <c r="E67" s="1" t="n">
        <v>46256</v>
      </c>
      <c r="F67" t="inlineStr">
        <is>
          <t>NORRBOTTENS LÄN</t>
        </is>
      </c>
      <c r="G67" t="inlineStr">
        <is>
          <t>KALIX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46256</v>
      </c>
      <c r="F68" t="inlineStr">
        <is>
          <t>NORRBOTTENS LÄN</t>
        </is>
      </c>
      <c r="G68" t="inlineStr">
        <is>
          <t>KALIX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46256</v>
      </c>
      <c r="F69" t="inlineStr">
        <is>
          <t>NORRBOTTENS LÄN</t>
        </is>
      </c>
      <c r="G69" t="inlineStr">
        <is>
          <t>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45681</v>
      </c>
      <c r="E70" s="1" t="n">
        <v>46256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46256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44721</v>
      </c>
      <c r="E72" s="1" t="n">
        <v>46256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67008-2021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46256</v>
      </c>
      <c r="F73" t="inlineStr">
        <is>
          <t>NORRBOTTENS LÄN</t>
        </is>
      </c>
      <c r="G73" t="inlineStr">
        <is>
          <t>KALIX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46256</v>
      </c>
      <c r="F74" t="inlineStr">
        <is>
          <t>NORRBOTTENS LÄN</t>
        </is>
      </c>
      <c r="G74" t="inlineStr">
        <is>
          <t>KALIX</t>
        </is>
      </c>
      <c r="H74" t="inlineStr">
        <is>
          <t>SCA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46256</v>
      </c>
      <c r="F75" t="inlineStr">
        <is>
          <t>NORRBOTTENS LÄN</t>
        </is>
      </c>
      <c r="G75" t="inlineStr">
        <is>
          <t>KALIX</t>
        </is>
      </c>
      <c r="H75" t="inlineStr">
        <is>
          <t>SCA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46256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45692</v>
      </c>
      <c r="E77" s="1" t="n">
        <v>46256</v>
      </c>
      <c r="F77" t="inlineStr">
        <is>
          <t>NORRBOTTENS LÄN</t>
        </is>
      </c>
      <c r="G77" t="inlineStr">
        <is>
          <t>KALIX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46256</v>
      </c>
      <c r="F78" t="inlineStr">
        <is>
          <t>NORRBOTTENS LÄN</t>
        </is>
      </c>
      <c r="G78" t="inlineStr">
        <is>
          <t>KALIX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46256</v>
      </c>
      <c r="F79" t="inlineStr">
        <is>
          <t>NORRBOTTENS LÄN</t>
        </is>
      </c>
      <c r="G79" t="inlineStr">
        <is>
          <t>KALIX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45678</v>
      </c>
      <c r="E80" s="1" t="n">
        <v>46256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45105</v>
      </c>
      <c r="E81" s="1" t="n">
        <v>46256</v>
      </c>
      <c r="F81" t="inlineStr">
        <is>
          <t>NORRBOTTENS LÄN</t>
        </is>
      </c>
      <c r="G81" t="inlineStr">
        <is>
          <t>KALIX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46256</v>
      </c>
      <c r="F82" t="inlineStr">
        <is>
          <t>NORRBOTTENS LÄN</t>
        </is>
      </c>
      <c r="G82" t="inlineStr">
        <is>
          <t>KALIX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45226</v>
      </c>
      <c r="E83" s="1" t="n">
        <v>46256</v>
      </c>
      <c r="F83" t="inlineStr">
        <is>
          <t>NORRBOTTENS LÄN</t>
        </is>
      </c>
      <c r="G83" t="inlineStr">
        <is>
          <t>KALIX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46256</v>
      </c>
      <c r="F84" t="inlineStr">
        <is>
          <t>NORRBOTTENS LÄN</t>
        </is>
      </c>
      <c r="G84" t="inlineStr">
        <is>
          <t>KALIX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46256</v>
      </c>
      <c r="F85" t="inlineStr">
        <is>
          <t>NORRBOTTENS LÄN</t>
        </is>
      </c>
      <c r="G85" t="inlineStr">
        <is>
          <t>KALIX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45816</v>
      </c>
      <c r="E86" s="1" t="n">
        <v>46256</v>
      </c>
      <c r="F86" t="inlineStr">
        <is>
          <t>NORRBOTTENS LÄN</t>
        </is>
      </c>
      <c r="G86" t="inlineStr">
        <is>
          <t>KALIX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45816</v>
      </c>
      <c r="E87" s="1" t="n">
        <v>46256</v>
      </c>
      <c r="F87" t="inlineStr">
        <is>
          <t>NORRBOTTENS LÄN</t>
        </is>
      </c>
      <c r="G87" t="inlineStr">
        <is>
          <t>KALIX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45816</v>
      </c>
      <c r="E88" s="1" t="n">
        <v>46256</v>
      </c>
      <c r="F88" t="inlineStr">
        <is>
          <t>NORRBOTTENS LÄN</t>
        </is>
      </c>
      <c r="G88" t="inlineStr">
        <is>
          <t>KALIX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45816</v>
      </c>
      <c r="E89" s="1" t="n">
        <v>46256</v>
      </c>
      <c r="F89" t="inlineStr">
        <is>
          <t>NORRBOTTENS LÄN</t>
        </is>
      </c>
      <c r="G89" t="inlineStr">
        <is>
          <t>KALIX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46256</v>
      </c>
      <c r="F90" t="inlineStr">
        <is>
          <t>NORRBOTTENS LÄN</t>
        </is>
      </c>
      <c r="G90" t="inlineStr">
        <is>
          <t>KALIX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46256</v>
      </c>
      <c r="F91" t="inlineStr">
        <is>
          <t>NORRBOTTENS LÄN</t>
        </is>
      </c>
      <c r="G91" t="inlineStr">
        <is>
          <t>KALIX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45816</v>
      </c>
      <c r="E92" s="1" t="n">
        <v>46256</v>
      </c>
      <c r="F92" t="inlineStr">
        <is>
          <t>NORRBOTTENS LÄN</t>
        </is>
      </c>
      <c r="G92" t="inlineStr">
        <is>
          <t>KALIX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46256</v>
      </c>
      <c r="F93" t="inlineStr">
        <is>
          <t>NORRBOTTENS LÄN</t>
        </is>
      </c>
      <c r="G93" t="inlineStr">
        <is>
          <t>KALIX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46256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45816</v>
      </c>
      <c r="E95" s="1" t="n">
        <v>46256</v>
      </c>
      <c r="F95" t="inlineStr">
        <is>
          <t>NORRBOTTENS LÄN</t>
        </is>
      </c>
      <c r="G95" t="inlineStr">
        <is>
          <t>KALIX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46256</v>
      </c>
      <c r="F96" t="inlineStr">
        <is>
          <t>NORRBOTTENS LÄN</t>
        </is>
      </c>
      <c r="G96" t="inlineStr">
        <is>
          <t>KALIX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46256</v>
      </c>
      <c r="F97" t="inlineStr">
        <is>
          <t>NORRBOTTENS LÄN</t>
        </is>
      </c>
      <c r="G97" t="inlineStr">
        <is>
          <t>KALIX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46256</v>
      </c>
      <c r="F98" t="inlineStr">
        <is>
          <t>NORRBOTTENS LÄN</t>
        </is>
      </c>
      <c r="G98" t="inlineStr">
        <is>
          <t>KALIX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46256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46256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46256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46256</v>
      </c>
      <c r="F102" t="inlineStr">
        <is>
          <t>NORRBOTTENS LÄN</t>
        </is>
      </c>
      <c r="G102" t="inlineStr">
        <is>
          <t>KALIX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46256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46256</v>
      </c>
      <c r="F104" t="inlineStr">
        <is>
          <t>NORRBOTTENS LÄN</t>
        </is>
      </c>
      <c r="G104" t="inlineStr">
        <is>
          <t>KALIX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46256</v>
      </c>
      <c r="F105" t="inlineStr">
        <is>
          <t>NORRBOTTENS LÄN</t>
        </is>
      </c>
      <c r="G105" t="inlineStr">
        <is>
          <t>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46256</v>
      </c>
      <c r="F106" t="inlineStr">
        <is>
          <t>NORRBOTTENS LÄN</t>
        </is>
      </c>
      <c r="G106" t="inlineStr">
        <is>
          <t>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46256</v>
      </c>
      <c r="F107" t="inlineStr">
        <is>
          <t>NORRBOTTENS LÄN</t>
        </is>
      </c>
      <c r="G107" t="inlineStr">
        <is>
          <t>KALIX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46256</v>
      </c>
      <c r="F108" t="inlineStr">
        <is>
          <t>NORRBOTTENS LÄN</t>
        </is>
      </c>
      <c r="G108" t="inlineStr">
        <is>
          <t>KALIX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46256</v>
      </c>
      <c r="F109" t="inlineStr">
        <is>
          <t>NORRBOTTENS LÄN</t>
        </is>
      </c>
      <c r="G109" t="inlineStr">
        <is>
          <t>KALIX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46256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45815</v>
      </c>
      <c r="E111" s="1" t="n">
        <v>46256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45660</v>
      </c>
      <c r="E112" s="1" t="n">
        <v>46256</v>
      </c>
      <c r="F112" t="inlineStr">
        <is>
          <t>NORRBOTTENS LÄN</t>
        </is>
      </c>
      <c r="G112" t="inlineStr">
        <is>
          <t>KALIX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46256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46256</v>
      </c>
      <c r="F114" t="inlineStr">
        <is>
          <t>NORRBOTTENS LÄN</t>
        </is>
      </c>
      <c r="G114" t="inlineStr">
        <is>
          <t>KALIX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46256</v>
      </c>
      <c r="F115" t="inlineStr">
        <is>
          <t>NORRBOTTENS LÄN</t>
        </is>
      </c>
      <c r="G115" t="inlineStr">
        <is>
          <t>KALIX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46256</v>
      </c>
      <c r="F116" t="inlineStr">
        <is>
          <t>NORRBOTTENS LÄN</t>
        </is>
      </c>
      <c r="G116" t="inlineStr">
        <is>
          <t>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46256</v>
      </c>
      <c r="F117" t="inlineStr">
        <is>
          <t>NORRBOTTENS LÄN</t>
        </is>
      </c>
      <c r="G117" t="inlineStr">
        <is>
          <t>KALIX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46256</v>
      </c>
      <c r="F118" t="inlineStr">
        <is>
          <t>NORRBOTTENS LÄN</t>
        </is>
      </c>
      <c r="G118" t="inlineStr">
        <is>
          <t>KALIX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46256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46256</v>
      </c>
      <c r="F120" t="inlineStr">
        <is>
          <t>NORRBOTTENS LÄN</t>
        </is>
      </c>
      <c r="G120" t="inlineStr">
        <is>
          <t>KALIX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46256</v>
      </c>
      <c r="F121" t="inlineStr">
        <is>
          <t>NORRBOTTENS LÄN</t>
        </is>
      </c>
      <c r="G121" t="inlineStr">
        <is>
          <t>KALIX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46256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46256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39958-2025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45892</v>
      </c>
      <c r="E124" s="1" t="n">
        <v>46256</v>
      </c>
      <c r="F124" t="inlineStr">
        <is>
          <t>NORRBOTTENS LÄN</t>
        </is>
      </c>
      <c r="G124" t="inlineStr">
        <is>
          <t>KALIX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46256</v>
      </c>
      <c r="F125" t="inlineStr">
        <is>
          <t>NORRBOTTENS LÄN</t>
        </is>
      </c>
      <c r="G125" t="inlineStr">
        <is>
          <t>KALIX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46256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38857-2022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44816</v>
      </c>
      <c r="E127" s="1" t="n">
        <v>46256</v>
      </c>
      <c r="F127" t="inlineStr">
        <is>
          <t>NORRBOTTENS LÄN</t>
        </is>
      </c>
      <c r="G127" t="inlineStr">
        <is>
          <t>KALIX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46256</v>
      </c>
      <c r="F128" t="inlineStr">
        <is>
          <t>NORRBOTTENS LÄN</t>
        </is>
      </c>
      <c r="G128" t="inlineStr">
        <is>
          <t>KALIX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13537-2022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44648</v>
      </c>
      <c r="E129" s="1" t="n">
        <v>46256</v>
      </c>
      <c r="F129" t="inlineStr">
        <is>
          <t>NORRBOTTENS LÄN</t>
        </is>
      </c>
      <c r="G129" t="inlineStr">
        <is>
          <t>KALIX</t>
        </is>
      </c>
      <c r="H129" t="inlineStr">
        <is>
          <t>BillerudKorsnäs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46256</v>
      </c>
      <c r="F130" t="inlineStr">
        <is>
          <t>NORRBOTTENS LÄN</t>
        </is>
      </c>
      <c r="G130" t="inlineStr">
        <is>
          <t>KALIX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46256</v>
      </c>
      <c r="F131" t="inlineStr">
        <is>
          <t>NORRBOTTENS LÄN</t>
        </is>
      </c>
      <c r="G131" t="inlineStr">
        <is>
          <t>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46256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46256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46256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46256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62135-2023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45266</v>
      </c>
      <c r="E136" s="1" t="n">
        <v>46256</v>
      </c>
      <c r="F136" t="inlineStr">
        <is>
          <t>NORRBOTTENS LÄN</t>
        </is>
      </c>
      <c r="G136" t="inlineStr">
        <is>
          <t>KALIX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46256</v>
      </c>
      <c r="F137" t="inlineStr">
        <is>
          <t>NORRBOTTENS LÄN</t>
        </is>
      </c>
      <c r="G137" t="inlineStr">
        <is>
          <t>KALIX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46256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46256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45054</v>
      </c>
      <c r="E140" s="1" t="n">
        <v>46256</v>
      </c>
      <c r="F140" t="inlineStr">
        <is>
          <t>NORRBOTTENS LÄN</t>
        </is>
      </c>
      <c r="G140" t="inlineStr">
        <is>
          <t>KALIX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64907-2021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46256</v>
      </c>
      <c r="F141" t="inlineStr">
        <is>
          <t>NORRBOTTENS LÄN</t>
        </is>
      </c>
      <c r="G141" t="inlineStr">
        <is>
          <t>KALIX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46256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45585</v>
      </c>
      <c r="E143" s="1" t="n">
        <v>46256</v>
      </c>
      <c r="F143" t="inlineStr">
        <is>
          <t>NORRBOTTENS LÄN</t>
        </is>
      </c>
      <c r="G143" t="inlineStr">
        <is>
          <t>KALIX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46256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46256</v>
      </c>
      <c r="F145" t="inlineStr">
        <is>
          <t>NORRBOTTENS LÄN</t>
        </is>
      </c>
      <c r="G145" t="inlineStr">
        <is>
          <t>KALIX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46256</v>
      </c>
      <c r="F146" t="inlineStr">
        <is>
          <t>NORRBOTTENS LÄN</t>
        </is>
      </c>
      <c r="G146" t="inlineStr">
        <is>
          <t>KALIX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44733</v>
      </c>
      <c r="E147" s="1" t="n">
        <v>46256</v>
      </c>
      <c r="F147" t="inlineStr">
        <is>
          <t>NORRBOTTENS LÄN</t>
        </is>
      </c>
      <c r="G147" t="inlineStr">
        <is>
          <t>KALIX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46256</v>
      </c>
      <c r="F148" t="inlineStr">
        <is>
          <t>NORRBOTTENS LÄN</t>
        </is>
      </c>
      <c r="G148" t="inlineStr">
        <is>
          <t>KALIX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46256</v>
      </c>
      <c r="F149" t="inlineStr">
        <is>
          <t>NORRBOTTENS LÄN</t>
        </is>
      </c>
      <c r="G149" t="inlineStr">
        <is>
          <t>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44442</v>
      </c>
      <c r="E150" s="1" t="n">
        <v>46256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46256</v>
      </c>
      <c r="F151" t="inlineStr">
        <is>
          <t>NORRBOTTENS LÄN</t>
        </is>
      </c>
      <c r="G151" t="inlineStr">
        <is>
          <t>KALIX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46256</v>
      </c>
      <c r="F152" t="inlineStr">
        <is>
          <t>NORRBOTTENS LÄN</t>
        </is>
      </c>
      <c r="G152" t="inlineStr">
        <is>
          <t>KALIX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46256</v>
      </c>
      <c r="F153" t="inlineStr">
        <is>
          <t>NORRBOTTENS LÄN</t>
        </is>
      </c>
      <c r="G153" t="inlineStr">
        <is>
          <t>KALIX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46256</v>
      </c>
      <c r="F154" t="inlineStr">
        <is>
          <t>NORRBOTTENS LÄN</t>
        </is>
      </c>
      <c r="G154" t="inlineStr">
        <is>
          <t>KALIX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44529</v>
      </c>
      <c r="E155" s="1" t="n">
        <v>46256</v>
      </c>
      <c r="F155" t="inlineStr">
        <is>
          <t>NORRBOTTENS LÄN</t>
        </is>
      </c>
      <c r="G155" t="inlineStr">
        <is>
          <t>KALIX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46256</v>
      </c>
      <c r="F156" t="inlineStr">
        <is>
          <t>NORRBOTTENS LÄN</t>
        </is>
      </c>
      <c r="G156" t="inlineStr">
        <is>
          <t>KALIX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46256</v>
      </c>
      <c r="F157" t="inlineStr">
        <is>
          <t>NORRBOTTENS LÄN</t>
        </is>
      </c>
      <c r="G157" t="inlineStr">
        <is>
          <t>KALIX</t>
        </is>
      </c>
      <c r="I157" t="n">
        <v>9.199999999999999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46256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46256</v>
      </c>
      <c r="F159" t="inlineStr">
        <is>
          <t>NORRBOTTENS LÄN</t>
        </is>
      </c>
      <c r="G159" t="inlineStr">
        <is>
          <t>KALIX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46256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44350-2025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45916</v>
      </c>
      <c r="E161" s="1" t="n">
        <v>46256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46256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46256</v>
      </c>
      <c r="F163" t="inlineStr">
        <is>
          <t>NORRBOTTENS LÄN</t>
        </is>
      </c>
      <c r="G163" t="inlineStr">
        <is>
          <t>KALIX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46256</v>
      </c>
      <c r="F164" t="inlineStr">
        <is>
          <t>NORRBOTTENS LÄN</t>
        </is>
      </c>
      <c r="G164" t="inlineStr">
        <is>
          <t>KALIX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46256</v>
      </c>
      <c r="F165" t="inlineStr">
        <is>
          <t>NORRBOTTENS LÄN</t>
        </is>
      </c>
      <c r="G165" t="inlineStr">
        <is>
          <t>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45243</v>
      </c>
      <c r="E166" s="1" t="n">
        <v>46256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45925</v>
      </c>
      <c r="E167" s="1" t="n">
        <v>46256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46256</v>
      </c>
      <c r="F168" t="inlineStr">
        <is>
          <t>NORRBOTTENS LÄN</t>
        </is>
      </c>
      <c r="G168" t="inlineStr">
        <is>
          <t>KALIX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46256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45295</v>
      </c>
      <c r="E170" s="1" t="n">
        <v>46256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46256</v>
      </c>
      <c r="F171" t="inlineStr">
        <is>
          <t>NORRBOTTENS LÄN</t>
        </is>
      </c>
      <c r="G171" t="inlineStr">
        <is>
          <t>KALIX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45712</v>
      </c>
      <c r="E172" s="1" t="n">
        <v>46256</v>
      </c>
      <c r="F172" t="inlineStr">
        <is>
          <t>NORRBOTTENS LÄN</t>
        </is>
      </c>
      <c r="G172" t="inlineStr">
        <is>
          <t>KALIX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46256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46256</v>
      </c>
      <c r="F174" t="inlineStr">
        <is>
          <t>NORRBOTTENS LÄN</t>
        </is>
      </c>
      <c r="G174" t="inlineStr">
        <is>
          <t>KALIX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46256</v>
      </c>
      <c r="F175" t="inlineStr">
        <is>
          <t>NORRBOTTENS LÄN</t>
        </is>
      </c>
      <c r="G175" t="inlineStr">
        <is>
          <t>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46256</v>
      </c>
      <c r="F176" t="inlineStr">
        <is>
          <t>NORRBOTTENS LÄN</t>
        </is>
      </c>
      <c r="G176" t="inlineStr">
        <is>
          <t>KALIX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46256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46256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46256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47983-2025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45932</v>
      </c>
      <c r="E180" s="1" t="n">
        <v>46256</v>
      </c>
      <c r="F180" t="inlineStr">
        <is>
          <t>NORRBOTTENS LÄN</t>
        </is>
      </c>
      <c r="G180" t="inlineStr">
        <is>
          <t>KALIX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46256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46256</v>
      </c>
      <c r="F182" t="inlineStr">
        <is>
          <t>NORRBOTTENS LÄN</t>
        </is>
      </c>
      <c r="G182" t="inlineStr">
        <is>
          <t>KALIX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44706</v>
      </c>
      <c r="E183" s="1" t="n">
        <v>46256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46256</v>
      </c>
      <c r="F184" t="inlineStr">
        <is>
          <t>NORRBOTTENS LÄN</t>
        </is>
      </c>
      <c r="G184" t="inlineStr">
        <is>
          <t>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46256</v>
      </c>
      <c r="F185" t="inlineStr">
        <is>
          <t>NORRBOTTENS LÄN</t>
        </is>
      </c>
      <c r="G185" t="inlineStr">
        <is>
          <t>KALIX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46256</v>
      </c>
      <c r="F186" t="inlineStr">
        <is>
          <t>NORRBOTTENS LÄN</t>
        </is>
      </c>
      <c r="G186" t="inlineStr">
        <is>
          <t>KALIX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46256</v>
      </c>
      <c r="F187" t="inlineStr">
        <is>
          <t>NORRBOTTENS LÄN</t>
        </is>
      </c>
      <c r="G187" t="inlineStr">
        <is>
          <t>KALIX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46256</v>
      </c>
      <c r="F188" t="inlineStr">
        <is>
          <t>NORRBOTTENS LÄN</t>
        </is>
      </c>
      <c r="G188" t="inlineStr">
        <is>
          <t>KALIX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46256</v>
      </c>
      <c r="F189" t="inlineStr">
        <is>
          <t>NORRBOTTENS LÄN</t>
        </is>
      </c>
      <c r="G189" t="inlineStr">
        <is>
          <t>KALIX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46256</v>
      </c>
      <c r="F190" t="inlineStr">
        <is>
          <t>NORRBOTTENS LÄN</t>
        </is>
      </c>
      <c r="G190" t="inlineStr">
        <is>
          <t>KALIX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46256</v>
      </c>
      <c r="F191" t="inlineStr">
        <is>
          <t>NORRBOTTENS LÄN</t>
        </is>
      </c>
      <c r="G191" t="inlineStr">
        <is>
          <t>KALIX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46256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46256</v>
      </c>
      <c r="F193" t="inlineStr">
        <is>
          <t>NORRBOTTENS LÄN</t>
        </is>
      </c>
      <c r="G193" t="inlineStr">
        <is>
          <t>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46256</v>
      </c>
      <c r="F194" t="inlineStr">
        <is>
          <t>NORRBOTTENS LÄN</t>
        </is>
      </c>
      <c r="G194" t="inlineStr">
        <is>
          <t>KALIX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46256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46256</v>
      </c>
      <c r="F196" t="inlineStr">
        <is>
          <t>NORRBOTTENS LÄN</t>
        </is>
      </c>
      <c r="G196" t="inlineStr">
        <is>
          <t>KALIX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46256</v>
      </c>
      <c r="F197" t="inlineStr">
        <is>
          <t>NORRBOTTENS LÄN</t>
        </is>
      </c>
      <c r="G197" t="inlineStr">
        <is>
          <t>KALIX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46256</v>
      </c>
      <c r="F198" t="inlineStr">
        <is>
          <t>NORRBOTTENS LÄN</t>
        </is>
      </c>
      <c r="G198" t="inlineStr">
        <is>
          <t>KALIX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46256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46256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46256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46256</v>
      </c>
      <c r="F202" t="inlineStr">
        <is>
          <t>NORRBOTTENS LÄN</t>
        </is>
      </c>
      <c r="G202" t="inlineStr">
        <is>
          <t>KALIX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45251</v>
      </c>
      <c r="E203" s="1" t="n">
        <v>46256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46256</v>
      </c>
      <c r="F204" t="inlineStr">
        <is>
          <t>NORRBOTTENS LÄN</t>
        </is>
      </c>
      <c r="G204" t="inlineStr">
        <is>
          <t>KALIX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46256</v>
      </c>
      <c r="F205" t="inlineStr">
        <is>
          <t>NORRBOTTENS LÄN</t>
        </is>
      </c>
      <c r="G205" t="inlineStr">
        <is>
          <t>KALIX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46256</v>
      </c>
      <c r="F206" t="inlineStr">
        <is>
          <t>NORRBOTTENS LÄN</t>
        </is>
      </c>
      <c r="G206" t="inlineStr">
        <is>
          <t>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44950</v>
      </c>
      <c r="E207" s="1" t="n">
        <v>46256</v>
      </c>
      <c r="F207" t="inlineStr">
        <is>
          <t>NORRBOTTENS LÄN</t>
        </is>
      </c>
      <c r="G207" t="inlineStr">
        <is>
          <t>KALIX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46256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46256</v>
      </c>
      <c r="F209" t="inlineStr">
        <is>
          <t>NORRBOTTENS LÄN</t>
        </is>
      </c>
      <c r="G209" t="inlineStr">
        <is>
          <t>KALIX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46256</v>
      </c>
      <c r="F210" t="inlineStr">
        <is>
          <t>NORRBOTTENS LÄN</t>
        </is>
      </c>
      <c r="G210" t="inlineStr">
        <is>
          <t>KALIX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46256</v>
      </c>
      <c r="F211" t="inlineStr">
        <is>
          <t>NORRBOTTENS LÄN</t>
        </is>
      </c>
      <c r="G211" t="inlineStr">
        <is>
          <t>KALIX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46256</v>
      </c>
      <c r="F212" t="inlineStr">
        <is>
          <t>NORRBOTTENS LÄN</t>
        </is>
      </c>
      <c r="G212" t="inlineStr">
        <is>
          <t>KALIX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46256</v>
      </c>
      <c r="F213" t="inlineStr">
        <is>
          <t>NORRBOTTENS LÄN</t>
        </is>
      </c>
      <c r="G213" t="inlineStr">
        <is>
          <t>KALIX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60955-2022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44907</v>
      </c>
      <c r="E214" s="1" t="n">
        <v>46256</v>
      </c>
      <c r="F214" t="inlineStr">
        <is>
          <t>NORRBOTTENS LÄN</t>
        </is>
      </c>
      <c r="G214" t="inlineStr">
        <is>
          <t>KALIX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46256</v>
      </c>
      <c r="F215" t="inlineStr">
        <is>
          <t>NORRBOTTENS LÄN</t>
        </is>
      </c>
      <c r="G215" t="inlineStr">
        <is>
          <t>KALIX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46256</v>
      </c>
      <c r="F216" t="inlineStr">
        <is>
          <t>NORRBOTTENS LÄN</t>
        </is>
      </c>
      <c r="G216" t="inlineStr">
        <is>
          <t>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46256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9.9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46256</v>
      </c>
      <c r="F218" t="inlineStr">
        <is>
          <t>NORRBOTTENS LÄN</t>
        </is>
      </c>
      <c r="G218" t="inlineStr">
        <is>
          <t>KALIX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46256</v>
      </c>
      <c r="F219" t="inlineStr">
        <is>
          <t>NORRBOTTENS LÄN</t>
        </is>
      </c>
      <c r="G219" t="inlineStr">
        <is>
          <t>KALIX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46256</v>
      </c>
      <c r="F220" t="inlineStr">
        <is>
          <t>NORRBOTTENS LÄN</t>
        </is>
      </c>
      <c r="G220" t="inlineStr">
        <is>
          <t>KALIX</t>
        </is>
      </c>
      <c r="I220" t="n">
        <v>16.9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46256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46256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46256</v>
      </c>
      <c r="F223" t="inlineStr">
        <is>
          <t>NORRBOTTENS LÄN</t>
        </is>
      </c>
      <c r="G223" t="inlineStr">
        <is>
          <t>KALIX</t>
        </is>
      </c>
      <c r="I223" t="n">
        <v>12.1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46256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46256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46256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46256</v>
      </c>
      <c r="F227" t="inlineStr">
        <is>
          <t>NORRBOTTENS LÄN</t>
        </is>
      </c>
      <c r="G227" t="inlineStr">
        <is>
          <t>KALIX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46256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46256</v>
      </c>
      <c r="F229" t="inlineStr">
        <is>
          <t>NORRBOTTENS LÄN</t>
        </is>
      </c>
      <c r="G229" t="inlineStr">
        <is>
          <t>KALIX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46256</v>
      </c>
      <c r="F230" t="inlineStr">
        <is>
          <t>NORRBOTTENS LÄN</t>
        </is>
      </c>
      <c r="G230" t="inlineStr">
        <is>
          <t>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46256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46256</v>
      </c>
      <c r="F232" t="inlineStr">
        <is>
          <t>NORRBOTTENS LÄN</t>
        </is>
      </c>
      <c r="G232" t="inlineStr">
        <is>
          <t>KALIX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46256</v>
      </c>
      <c r="F233" t="inlineStr">
        <is>
          <t>NORRBOTTENS LÄN</t>
        </is>
      </c>
      <c r="G233" t="inlineStr">
        <is>
          <t>KALIX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46256</v>
      </c>
      <c r="F234" t="inlineStr">
        <is>
          <t>NORRBOTTENS LÄN</t>
        </is>
      </c>
      <c r="G234" t="inlineStr">
        <is>
          <t>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46256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46256</v>
      </c>
      <c r="F236" t="inlineStr">
        <is>
          <t>NORRBOTTENS LÄN</t>
        </is>
      </c>
      <c r="G236" t="inlineStr">
        <is>
          <t>KALIX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46256</v>
      </c>
      <c r="F237" t="inlineStr">
        <is>
          <t>NORRBOTTENS LÄN</t>
        </is>
      </c>
      <c r="G237" t="inlineStr">
        <is>
          <t>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46256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45641</v>
      </c>
      <c r="E239" s="1" t="n">
        <v>46256</v>
      </c>
      <c r="F239" t="inlineStr">
        <is>
          <t>NORRBOTTENS LÄN</t>
        </is>
      </c>
      <c r="G239" t="inlineStr">
        <is>
          <t>KALIX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46256</v>
      </c>
      <c r="F240" t="inlineStr">
        <is>
          <t>NORRBOTTENS LÄN</t>
        </is>
      </c>
      <c r="G240" t="inlineStr">
        <is>
          <t>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45213</v>
      </c>
      <c r="E241" s="1" t="n">
        <v>46256</v>
      </c>
      <c r="F241" t="inlineStr">
        <is>
          <t>NORRBOTTENS LÄN</t>
        </is>
      </c>
      <c r="G241" t="inlineStr">
        <is>
          <t>KALIX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46256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46256</v>
      </c>
      <c r="F243" t="inlineStr">
        <is>
          <t>NORRBOTTENS LÄN</t>
        </is>
      </c>
      <c r="G243" t="inlineStr">
        <is>
          <t>KALIX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46256</v>
      </c>
      <c r="F244" t="inlineStr">
        <is>
          <t>NORRBOTTENS LÄN</t>
        </is>
      </c>
      <c r="G244" t="inlineStr">
        <is>
          <t>KALIX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46256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46256</v>
      </c>
      <c r="F246" t="inlineStr">
        <is>
          <t>NORRBOTTENS LÄN</t>
        </is>
      </c>
      <c r="G246" t="inlineStr">
        <is>
          <t>KALIX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46256</v>
      </c>
      <c r="F247" t="inlineStr">
        <is>
          <t>NORRBOTTENS LÄN</t>
        </is>
      </c>
      <c r="G247" t="inlineStr">
        <is>
          <t>KALIX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46256</v>
      </c>
      <c r="F248" t="inlineStr">
        <is>
          <t>NORRBOTTENS LÄN</t>
        </is>
      </c>
      <c r="G248" t="inlineStr">
        <is>
          <t>KALIX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46256</v>
      </c>
      <c r="F249" t="inlineStr">
        <is>
          <t>NORRBOTTENS LÄN</t>
        </is>
      </c>
      <c r="G249" t="inlineStr">
        <is>
          <t>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44776</v>
      </c>
      <c r="E250" s="1" t="n">
        <v>46256</v>
      </c>
      <c r="F250" t="inlineStr">
        <is>
          <t>NORRBOTTENS LÄN</t>
        </is>
      </c>
      <c r="G250" t="inlineStr">
        <is>
          <t>KALIX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46256</v>
      </c>
      <c r="F251" t="inlineStr">
        <is>
          <t>NORRBOTTENS LÄN</t>
        </is>
      </c>
      <c r="G251" t="inlineStr">
        <is>
          <t>KALIX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46256</v>
      </c>
      <c r="F252" t="inlineStr">
        <is>
          <t>NORRBOTTENS LÄN</t>
        </is>
      </c>
      <c r="G252" t="inlineStr">
        <is>
          <t>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46256</v>
      </c>
      <c r="F253" t="inlineStr">
        <is>
          <t>NORRBOTTENS LÄN</t>
        </is>
      </c>
      <c r="G253" t="inlineStr">
        <is>
          <t>KALIX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46256</v>
      </c>
      <c r="F254" t="inlineStr">
        <is>
          <t>NORRBOTTENS LÄN</t>
        </is>
      </c>
      <c r="G254" t="inlineStr">
        <is>
          <t>KALIX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46256</v>
      </c>
      <c r="F255" t="inlineStr">
        <is>
          <t>NORRBOTTENS LÄN</t>
        </is>
      </c>
      <c r="G255" t="inlineStr">
        <is>
          <t>KALIX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46256</v>
      </c>
      <c r="F256" t="inlineStr">
        <is>
          <t>NORRBOTTENS LÄN</t>
        </is>
      </c>
      <c r="G256" t="inlineStr">
        <is>
          <t>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46256</v>
      </c>
      <c r="F257" t="inlineStr">
        <is>
          <t>NORRBOTTENS LÄN</t>
        </is>
      </c>
      <c r="G257" t="inlineStr">
        <is>
          <t>KALIX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45492</v>
      </c>
      <c r="E258" s="1" t="n">
        <v>46256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46256</v>
      </c>
      <c r="F259" t="inlineStr">
        <is>
          <t>NORRBOTTENS LÄN</t>
        </is>
      </c>
      <c r="G259" t="inlineStr">
        <is>
          <t>KALIX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46256</v>
      </c>
      <c r="F260" t="inlineStr">
        <is>
          <t>NORRBOTTENS LÄN</t>
        </is>
      </c>
      <c r="G260" t="inlineStr">
        <is>
          <t>KALIX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46256</v>
      </c>
      <c r="F261" t="inlineStr">
        <is>
          <t>NORRBOTTENS LÄN</t>
        </is>
      </c>
      <c r="G261" t="inlineStr">
        <is>
          <t>KALIX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46256</v>
      </c>
      <c r="F262" t="inlineStr">
        <is>
          <t>NORRBOTTENS LÄN</t>
        </is>
      </c>
      <c r="G262" t="inlineStr">
        <is>
          <t>KALIX</t>
        </is>
      </c>
      <c r="H262" t="inlineStr">
        <is>
          <t>SCA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46256</v>
      </c>
      <c r="F263" t="inlineStr">
        <is>
          <t>NORRBOTTENS LÄN</t>
        </is>
      </c>
      <c r="G263" t="inlineStr">
        <is>
          <t>KALIX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46256</v>
      </c>
      <c r="F264" t="inlineStr">
        <is>
          <t>NORRBOTTENS LÄN</t>
        </is>
      </c>
      <c r="G264" t="inlineStr">
        <is>
          <t>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46256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45698</v>
      </c>
      <c r="E266" s="1" t="n">
        <v>46256</v>
      </c>
      <c r="F266" t="inlineStr">
        <is>
          <t>NORRBOTTENS LÄN</t>
        </is>
      </c>
      <c r="G266" t="inlineStr">
        <is>
          <t>KALIX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46256</v>
      </c>
      <c r="F267" t="inlineStr">
        <is>
          <t>NORRBOTTENS LÄN</t>
        </is>
      </c>
      <c r="G267" t="inlineStr">
        <is>
          <t>KALIX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46256</v>
      </c>
      <c r="F268" t="inlineStr">
        <is>
          <t>NORRBOTTENS LÄN</t>
        </is>
      </c>
      <c r="G268" t="inlineStr">
        <is>
          <t>KALIX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46256</v>
      </c>
      <c r="F269" t="inlineStr">
        <is>
          <t>NORRBOTTENS LÄN</t>
        </is>
      </c>
      <c r="G269" t="inlineStr">
        <is>
          <t>KALIX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46256</v>
      </c>
      <c r="F270" t="inlineStr">
        <is>
          <t>NORRBOTTENS LÄN</t>
        </is>
      </c>
      <c r="G270" t="inlineStr">
        <is>
          <t>KALIX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46256</v>
      </c>
      <c r="F271" t="inlineStr">
        <is>
          <t>NORRBOTTENS LÄN</t>
        </is>
      </c>
      <c r="G271" t="inlineStr">
        <is>
          <t>KALIX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46256</v>
      </c>
      <c r="F272" t="inlineStr">
        <is>
          <t>NORRBOTTENS LÄN</t>
        </is>
      </c>
      <c r="G272" t="inlineStr">
        <is>
          <t>KALIX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44898</v>
      </c>
      <c r="E273" s="1" t="n">
        <v>46256</v>
      </c>
      <c r="F273" t="inlineStr">
        <is>
          <t>NORRBOTTENS LÄN</t>
        </is>
      </c>
      <c r="G273" t="inlineStr">
        <is>
          <t>KALIX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46256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46256</v>
      </c>
      <c r="F275" t="inlineStr">
        <is>
          <t>NORRBOTTENS LÄN</t>
        </is>
      </c>
      <c r="G275" t="inlineStr">
        <is>
          <t>KALIX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46256</v>
      </c>
      <c r="F276" t="inlineStr">
        <is>
          <t>NORRBOTTENS LÄN</t>
        </is>
      </c>
      <c r="G276" t="inlineStr">
        <is>
          <t>KALIX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45816</v>
      </c>
      <c r="E277" s="1" t="n">
        <v>46256</v>
      </c>
      <c r="F277" t="inlineStr">
        <is>
          <t>NORRBOTTENS LÄN</t>
        </is>
      </c>
      <c r="G277" t="inlineStr">
        <is>
          <t>KALIX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46256</v>
      </c>
      <c r="F278" t="inlineStr">
        <is>
          <t>NORRBOTTENS LÄN</t>
        </is>
      </c>
      <c r="G278" t="inlineStr">
        <is>
          <t>KALIX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45667</v>
      </c>
      <c r="E279" s="1" t="n">
        <v>46256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46256</v>
      </c>
      <c r="F280" t="inlineStr">
        <is>
          <t>NORRBOTTENS LÄN</t>
        </is>
      </c>
      <c r="G280" t="inlineStr">
        <is>
          <t>KALIX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46256</v>
      </c>
      <c r="F281" t="inlineStr">
        <is>
          <t>NORRBOTTENS LÄN</t>
        </is>
      </c>
      <c r="G281" t="inlineStr">
        <is>
          <t>KALIX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46256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46256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46256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66739-2021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44520</v>
      </c>
      <c r="E285" s="1" t="n">
        <v>46256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46256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46256</v>
      </c>
      <c r="F287" t="inlineStr">
        <is>
          <t>NORRBOTTENS LÄN</t>
        </is>
      </c>
      <c r="G287" t="inlineStr">
        <is>
          <t>KALIX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46256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45602</v>
      </c>
      <c r="E289" s="1" t="n">
        <v>46256</v>
      </c>
      <c r="F289" t="inlineStr">
        <is>
          <t>NORRBOTTENS LÄN</t>
        </is>
      </c>
      <c r="G289" t="inlineStr">
        <is>
          <t>KALIX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46256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45851</v>
      </c>
      <c r="E291" s="1" t="n">
        <v>46256</v>
      </c>
      <c r="F291" t="inlineStr">
        <is>
          <t>NORRBOTTENS LÄN</t>
        </is>
      </c>
      <c r="G291" t="inlineStr">
        <is>
          <t>KALIX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46256</v>
      </c>
      <c r="F292" t="inlineStr">
        <is>
          <t>NORRBOTTENS LÄN</t>
        </is>
      </c>
      <c r="G292" t="inlineStr">
        <is>
          <t>KALIX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46256</v>
      </c>
      <c r="F293" t="inlineStr">
        <is>
          <t>NORRBOTTENS LÄN</t>
        </is>
      </c>
      <c r="G293" t="inlineStr">
        <is>
          <t>KALIX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45415</v>
      </c>
      <c r="E294" s="1" t="n">
        <v>46256</v>
      </c>
      <c r="F294" t="inlineStr">
        <is>
          <t>NORRBOTTENS LÄN</t>
        </is>
      </c>
      <c r="G294" t="inlineStr">
        <is>
          <t>KALIX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46256</v>
      </c>
      <c r="F295" t="inlineStr">
        <is>
          <t>NORRBOTTENS LÄN</t>
        </is>
      </c>
      <c r="G295" t="inlineStr">
        <is>
          <t>KALIX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46256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46256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46256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44580</v>
      </c>
      <c r="E299" s="1" t="n">
        <v>46256</v>
      </c>
      <c r="F299" t="inlineStr">
        <is>
          <t>NORRBOTTENS LÄN</t>
        </is>
      </c>
      <c r="G299" t="inlineStr">
        <is>
          <t>KALIX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46256</v>
      </c>
      <c r="F300" t="inlineStr">
        <is>
          <t>NORRBOTTENS LÄN</t>
        </is>
      </c>
      <c r="G300" t="inlineStr">
        <is>
          <t>KALIX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46256</v>
      </c>
      <c r="F301" t="inlineStr">
        <is>
          <t>NORRBOTTENS LÄN</t>
        </is>
      </c>
      <c r="G301" t="inlineStr">
        <is>
          <t>KALIX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46256</v>
      </c>
      <c r="F302" t="inlineStr">
        <is>
          <t>NORRBOTTENS LÄN</t>
        </is>
      </c>
      <c r="G302" t="inlineStr">
        <is>
          <t>KALIX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46256</v>
      </c>
      <c r="F303" t="inlineStr">
        <is>
          <t>NORRBOTTENS LÄN</t>
        </is>
      </c>
      <c r="G303" t="inlineStr">
        <is>
          <t>KALIX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46256</v>
      </c>
      <c r="F304" t="inlineStr">
        <is>
          <t>NORRBOTTENS LÄN</t>
        </is>
      </c>
      <c r="G304" t="inlineStr">
        <is>
          <t>KALIX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46256</v>
      </c>
      <c r="F305" t="inlineStr">
        <is>
          <t>NORRBOTTENS LÄN</t>
        </is>
      </c>
      <c r="G305" t="inlineStr">
        <is>
          <t>KALIX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45632</v>
      </c>
      <c r="E306" s="1" t="n">
        <v>46256</v>
      </c>
      <c r="F306" t="inlineStr">
        <is>
          <t>NORRBOTTENS LÄN</t>
        </is>
      </c>
      <c r="G306" t="inlineStr">
        <is>
          <t>KALIX</t>
        </is>
      </c>
      <c r="I306" t="n">
        <v>17.4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46256</v>
      </c>
      <c r="F307" t="inlineStr">
        <is>
          <t>NORRBOTTENS LÄN</t>
        </is>
      </c>
      <c r="G307" t="inlineStr">
        <is>
          <t>KALIX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46256</v>
      </c>
      <c r="F308" t="inlineStr">
        <is>
          <t>NORRBOTTENS LÄN</t>
        </is>
      </c>
      <c r="G308" t="inlineStr">
        <is>
          <t>KALIX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46256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46256</v>
      </c>
      <c r="F310" t="inlineStr">
        <is>
          <t>NORRBOTTENS LÄN</t>
        </is>
      </c>
      <c r="G310" t="inlineStr">
        <is>
          <t>KALIX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46256</v>
      </c>
      <c r="F311" t="inlineStr">
        <is>
          <t>NORRBOTTENS LÄN</t>
        </is>
      </c>
      <c r="G311" t="inlineStr">
        <is>
          <t>KALIX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46256</v>
      </c>
      <c r="F312" t="inlineStr">
        <is>
          <t>NORRBOTTENS LÄN</t>
        </is>
      </c>
      <c r="G312" t="inlineStr">
        <is>
          <t>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45420</v>
      </c>
      <c r="E313" s="1" t="n">
        <v>46256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46256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46256</v>
      </c>
      <c r="F315" t="inlineStr">
        <is>
          <t>NORRBOTTENS LÄN</t>
        </is>
      </c>
      <c r="G315" t="inlineStr">
        <is>
          <t>KALIX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46256</v>
      </c>
      <c r="F316" t="inlineStr">
        <is>
          <t>NORRBOTTENS LÄN</t>
        </is>
      </c>
      <c r="G316" t="inlineStr">
        <is>
          <t>KALIX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46256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46256</v>
      </c>
      <c r="F318" t="inlineStr">
        <is>
          <t>NORRBOTTENS LÄN</t>
        </is>
      </c>
      <c r="G318" t="inlineStr">
        <is>
          <t>KALIX</t>
        </is>
      </c>
      <c r="H318" t="inlineStr">
        <is>
          <t>Kommuner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46256</v>
      </c>
      <c r="F319" t="inlineStr">
        <is>
          <t>NORRBOTTENS LÄN</t>
        </is>
      </c>
      <c r="G319" t="inlineStr">
        <is>
          <t>KALIX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46256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46256</v>
      </c>
      <c r="F321" t="inlineStr">
        <is>
          <t>NORRBOTTENS LÄN</t>
        </is>
      </c>
      <c r="G321" t="inlineStr">
        <is>
          <t>KALIX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46256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46256</v>
      </c>
      <c r="F323" t="inlineStr">
        <is>
          <t>NORRBOTTENS LÄN</t>
        </is>
      </c>
      <c r="G323" t="inlineStr">
        <is>
          <t>KALIX</t>
        </is>
      </c>
      <c r="H323" t="inlineStr">
        <is>
          <t>Sveaskog</t>
        </is>
      </c>
      <c r="I323" t="n">
        <v>14.8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46256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46256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46256</v>
      </c>
      <c r="F326" t="inlineStr">
        <is>
          <t>NORRBOTTENS LÄN</t>
        </is>
      </c>
      <c r="G326" t="inlineStr">
        <is>
          <t>KALIX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46013</v>
      </c>
      <c r="E327" s="1" t="n">
        <v>46256</v>
      </c>
      <c r="F327" t="inlineStr">
        <is>
          <t>NORRBOTTENS LÄN</t>
        </is>
      </c>
      <c r="G327" t="inlineStr">
        <is>
          <t>KALIX</t>
        </is>
      </c>
      <c r="H327" t="inlineStr">
        <is>
          <t>Kommuner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46256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45259</v>
      </c>
      <c r="E329" s="1" t="n">
        <v>46256</v>
      </c>
      <c r="F329" t="inlineStr">
        <is>
          <t>NORRBOTTENS LÄN</t>
        </is>
      </c>
      <c r="G329" t="inlineStr">
        <is>
          <t>KALIX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46256</v>
      </c>
      <c r="F330" t="inlineStr">
        <is>
          <t>NORRBOTTENS LÄN</t>
        </is>
      </c>
      <c r="G330" t="inlineStr">
        <is>
          <t>KALIX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46256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46256</v>
      </c>
      <c r="F332" t="inlineStr">
        <is>
          <t>NORRBOTTENS LÄN</t>
        </is>
      </c>
      <c r="G332" t="inlineStr">
        <is>
          <t>KALIX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58392-2021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44488</v>
      </c>
      <c r="E333" s="1" t="n">
        <v>46256</v>
      </c>
      <c r="F333" t="inlineStr">
        <is>
          <t>NORRBOTTENS LÄN</t>
        </is>
      </c>
      <c r="G333" t="inlineStr">
        <is>
          <t>KALIX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46256</v>
      </c>
      <c r="F334" t="inlineStr">
        <is>
          <t>NORRBOTTENS LÄN</t>
        </is>
      </c>
      <c r="G334" t="inlineStr">
        <is>
          <t>KALIX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45461</v>
      </c>
      <c r="E335" s="1" t="n">
        <v>46256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64027-2025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46021</v>
      </c>
      <c r="E336" s="1" t="n">
        <v>46256</v>
      </c>
      <c r="F336" t="inlineStr">
        <is>
          <t>NORRBOTTENS LÄN</t>
        </is>
      </c>
      <c r="G336" t="inlineStr">
        <is>
          <t>KALIX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64031-2025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46021</v>
      </c>
      <c r="E337" s="1" t="n">
        <v>46256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46256</v>
      </c>
      <c r="F338" t="inlineStr">
        <is>
          <t>NORRBOTTENS LÄN</t>
        </is>
      </c>
      <c r="G338" t="inlineStr">
        <is>
          <t>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45321</v>
      </c>
      <c r="E339" s="1" t="n">
        <v>46256</v>
      </c>
      <c r="F339" t="inlineStr">
        <is>
          <t>NORRBOTTENS LÄN</t>
        </is>
      </c>
      <c r="G339" t="inlineStr">
        <is>
          <t>KALIX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46256</v>
      </c>
      <c r="F340" t="inlineStr">
        <is>
          <t>NORRBOTTENS LÄN</t>
        </is>
      </c>
      <c r="G340" t="inlineStr">
        <is>
          <t>KALIX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46256</v>
      </c>
      <c r="F341" t="inlineStr">
        <is>
          <t>NORRBOTTENS LÄN</t>
        </is>
      </c>
      <c r="G341" t="inlineStr">
        <is>
          <t>KALIX</t>
        </is>
      </c>
      <c r="I341" t="n">
        <v>11.9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46256</v>
      </c>
      <c r="F342" t="inlineStr">
        <is>
          <t>NORRBOTTENS LÄN</t>
        </is>
      </c>
      <c r="G342" t="inlineStr">
        <is>
          <t>KALIX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46256</v>
      </c>
      <c r="F343" t="inlineStr">
        <is>
          <t>NORRBOTTENS LÄN</t>
        </is>
      </c>
      <c r="G343" t="inlineStr">
        <is>
          <t>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54296-2024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45617</v>
      </c>
      <c r="E344" s="1" t="n">
        <v>46256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46256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46256</v>
      </c>
      <c r="F346" t="inlineStr">
        <is>
          <t>NORRBOTTENS LÄN</t>
        </is>
      </c>
      <c r="G346" t="inlineStr">
        <is>
          <t>KALIX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46256</v>
      </c>
      <c r="F347" t="inlineStr">
        <is>
          <t>NORRBOTTENS LÄN</t>
        </is>
      </c>
      <c r="G347" t="inlineStr">
        <is>
          <t>KALIX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68438-2021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46256</v>
      </c>
      <c r="F348" t="inlineStr">
        <is>
          <t>NORRBOTTENS LÄN</t>
        </is>
      </c>
      <c r="G348" t="inlineStr">
        <is>
          <t>KALIX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46256</v>
      </c>
      <c r="F349" t="inlineStr">
        <is>
          <t>NORRBOTTENS LÄN</t>
        </is>
      </c>
      <c r="G349" t="inlineStr">
        <is>
          <t>KALIX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46256</v>
      </c>
      <c r="F350" t="inlineStr">
        <is>
          <t>NORRBOTTENS LÄN</t>
        </is>
      </c>
      <c r="G350" t="inlineStr">
        <is>
          <t>KALIX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46256</v>
      </c>
      <c r="F351" t="inlineStr">
        <is>
          <t>NORRBOTTENS LÄN</t>
        </is>
      </c>
      <c r="G351" t="inlineStr">
        <is>
          <t>KALIX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46256</v>
      </c>
      <c r="F352" t="inlineStr">
        <is>
          <t>NORRBOTTENS LÄN</t>
        </is>
      </c>
      <c r="G352" t="inlineStr">
        <is>
          <t>KALIX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46256</v>
      </c>
      <c r="F353" t="inlineStr">
        <is>
          <t>NORRBOTTENS LÄN</t>
        </is>
      </c>
      <c r="G353" t="inlineStr">
        <is>
          <t>KALIX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46256</v>
      </c>
      <c r="F354" t="inlineStr">
        <is>
          <t>NORRBOTTENS LÄN</t>
        </is>
      </c>
      <c r="G354" t="inlineStr">
        <is>
          <t>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46256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46256</v>
      </c>
      <c r="F356" t="inlineStr">
        <is>
          <t>NORRBOTTENS LÄN</t>
        </is>
      </c>
      <c r="G356" t="inlineStr">
        <is>
          <t>KALIX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46256</v>
      </c>
      <c r="F357" t="inlineStr">
        <is>
          <t>NORRBOTTENS LÄN</t>
        </is>
      </c>
      <c r="G357" t="inlineStr">
        <is>
          <t>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46256</v>
      </c>
      <c r="F358" t="inlineStr">
        <is>
          <t>NORRBOTTENS LÄN</t>
        </is>
      </c>
      <c r="G358" t="inlineStr">
        <is>
          <t>KALIX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45079</v>
      </c>
      <c r="E359" s="1" t="n">
        <v>46256</v>
      </c>
      <c r="F359" t="inlineStr">
        <is>
          <t>NORRBOTTENS LÄN</t>
        </is>
      </c>
      <c r="G359" t="inlineStr">
        <is>
          <t>KALIX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46256</v>
      </c>
      <c r="F360" t="inlineStr">
        <is>
          <t>NORRBOTTENS LÄN</t>
        </is>
      </c>
      <c r="G360" t="inlineStr">
        <is>
          <t>KALIX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46752-2024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45583</v>
      </c>
      <c r="E361" s="1" t="n">
        <v>46256</v>
      </c>
      <c r="F361" t="inlineStr">
        <is>
          <t>NORRBOTTENS LÄN</t>
        </is>
      </c>
      <c r="G361" t="inlineStr">
        <is>
          <t>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46256</v>
      </c>
      <c r="F362" t="inlineStr">
        <is>
          <t>NORRBOTTENS LÄN</t>
        </is>
      </c>
      <c r="G362" t="inlineStr">
        <is>
          <t>KALIX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45542</v>
      </c>
      <c r="E363" s="1" t="n">
        <v>46256</v>
      </c>
      <c r="F363" t="inlineStr">
        <is>
          <t>NORRBOTTENS LÄN</t>
        </is>
      </c>
      <c r="G363" t="inlineStr">
        <is>
          <t>KALIX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46256</v>
      </c>
      <c r="F364" t="inlineStr">
        <is>
          <t>NORRBOTTENS LÄN</t>
        </is>
      </c>
      <c r="G364" t="inlineStr">
        <is>
          <t>KALIX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46256</v>
      </c>
      <c r="F365" t="inlineStr">
        <is>
          <t>NORRBOTTENS LÄN</t>
        </is>
      </c>
      <c r="G365" t="inlineStr">
        <is>
          <t>KALIX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46256</v>
      </c>
      <c r="F366" t="inlineStr">
        <is>
          <t>NORRBOTTENS LÄN</t>
        </is>
      </c>
      <c r="G366" t="inlineStr">
        <is>
          <t>KALIX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46256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46256</v>
      </c>
      <c r="F368" t="inlineStr">
        <is>
          <t>NORRBOTTENS LÄN</t>
        </is>
      </c>
      <c r="G368" t="inlineStr">
        <is>
          <t>KALIX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45295</v>
      </c>
      <c r="E369" s="1" t="n">
        <v>46256</v>
      </c>
      <c r="F369" t="inlineStr">
        <is>
          <t>NORRBOTTENS LÄN</t>
        </is>
      </c>
      <c r="G369" t="inlineStr">
        <is>
          <t>KALIX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46256</v>
      </c>
      <c r="F370" t="inlineStr">
        <is>
          <t>NORRBOTTENS LÄN</t>
        </is>
      </c>
      <c r="G370" t="inlineStr">
        <is>
          <t>KALIX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46256</v>
      </c>
      <c r="F371" t="inlineStr">
        <is>
          <t>NORRBOTTENS LÄN</t>
        </is>
      </c>
      <c r="G371" t="inlineStr">
        <is>
          <t>KALIX</t>
        </is>
      </c>
      <c r="I371" t="n">
        <v>63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46256</v>
      </c>
      <c r="F372" t="inlineStr">
        <is>
          <t>NORRBOTTENS LÄN</t>
        </is>
      </c>
      <c r="G372" t="inlineStr">
        <is>
          <t>KALIX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45986</v>
      </c>
      <c r="E373" s="1" t="n">
        <v>46256</v>
      </c>
      <c r="F373" t="inlineStr">
        <is>
          <t>NORRBOTTENS LÄN</t>
        </is>
      </c>
      <c r="G373" t="inlineStr">
        <is>
          <t>KALIX</t>
        </is>
      </c>
      <c r="H373" t="inlineStr">
        <is>
          <t>Kommuner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46256</v>
      </c>
      <c r="F374" t="inlineStr">
        <is>
          <t>NORRBOTTENS LÄN</t>
        </is>
      </c>
      <c r="G374" t="inlineStr">
        <is>
          <t>KALIX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55539-2024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46256</v>
      </c>
      <c r="F375" t="inlineStr">
        <is>
          <t>NORRBOTTENS LÄN</t>
        </is>
      </c>
      <c r="G375" t="inlineStr">
        <is>
          <t>KALIX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46256</v>
      </c>
      <c r="F376" t="inlineStr">
        <is>
          <t>NORRBOTTENS LÄN</t>
        </is>
      </c>
      <c r="G376" t="inlineStr">
        <is>
          <t>KALIX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24033-2026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46167</v>
      </c>
      <c r="E377" s="1" t="n">
        <v>46256</v>
      </c>
      <c r="F377" t="inlineStr">
        <is>
          <t>NORRBOTTENS LÄN</t>
        </is>
      </c>
      <c r="G377" t="inlineStr">
        <is>
          <t>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46256</v>
      </c>
      <c r="F378" t="inlineStr">
        <is>
          <t>NORRBOTTENS LÄN</t>
        </is>
      </c>
      <c r="G378" t="inlineStr">
        <is>
          <t>KALIX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46256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46256</v>
      </c>
      <c r="F380" t="inlineStr">
        <is>
          <t>NORRBOTTENS LÄN</t>
        </is>
      </c>
      <c r="G380" t="inlineStr">
        <is>
          <t>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46256</v>
      </c>
      <c r="F381" t="inlineStr">
        <is>
          <t>NORRBOTTENS LÄN</t>
        </is>
      </c>
      <c r="G381" t="inlineStr">
        <is>
          <t>KALIX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45859</v>
      </c>
      <c r="E382" s="1" t="n">
        <v>46256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46256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46256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46256</v>
      </c>
      <c r="F385" t="inlineStr">
        <is>
          <t>NORRBOTTENS LÄN</t>
        </is>
      </c>
      <c r="G385" t="inlineStr">
        <is>
          <t>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46256</v>
      </c>
      <c r="F386" t="inlineStr">
        <is>
          <t>NORRBOTTENS LÄN</t>
        </is>
      </c>
      <c r="G386" t="inlineStr">
        <is>
          <t>KALIX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46256</v>
      </c>
      <c r="F387" t="inlineStr">
        <is>
          <t>NORRBOTTENS LÄN</t>
        </is>
      </c>
      <c r="G387" t="inlineStr">
        <is>
          <t>KALIX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46256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46256</v>
      </c>
      <c r="F389" t="inlineStr">
        <is>
          <t>NORRBOTTENS LÄN</t>
        </is>
      </c>
      <c r="G389" t="inlineStr">
        <is>
          <t>KALIX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46256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46256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67004-2021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44522</v>
      </c>
      <c r="E392" s="1" t="n">
        <v>46256</v>
      </c>
      <c r="F392" t="inlineStr">
        <is>
          <t>NORRBOTTENS LÄN</t>
        </is>
      </c>
      <c r="G392" t="inlineStr">
        <is>
          <t>KALIX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46256</v>
      </c>
      <c r="F393" t="inlineStr">
        <is>
          <t>NORRBOTTENS LÄN</t>
        </is>
      </c>
      <c r="G393" t="inlineStr">
        <is>
          <t>KALIX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46256</v>
      </c>
      <c r="F394" t="inlineStr">
        <is>
          <t>NORRBOTTENS LÄN</t>
        </is>
      </c>
      <c r="G394" t="inlineStr">
        <is>
          <t>KALIX</t>
        </is>
      </c>
      <c r="I394" t="n">
        <v>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46256</v>
      </c>
      <c r="F395" t="inlineStr">
        <is>
          <t>NORRBOTTENS LÄN</t>
        </is>
      </c>
      <c r="G395" t="inlineStr">
        <is>
          <t>KALIX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46256</v>
      </c>
      <c r="F396" t="inlineStr">
        <is>
          <t>NORRBOTTENS LÄN</t>
        </is>
      </c>
      <c r="G396" t="inlineStr">
        <is>
          <t>KALIX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45173</v>
      </c>
      <c r="E397" s="1" t="n">
        <v>46256</v>
      </c>
      <c r="F397" t="inlineStr">
        <is>
          <t>NORRBOTTENS LÄN</t>
        </is>
      </c>
      <c r="G397" t="inlineStr">
        <is>
          <t>KALIX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46256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46256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46256</v>
      </c>
      <c r="F400" t="inlineStr">
        <is>
          <t>NORRBOTTENS LÄN</t>
        </is>
      </c>
      <c r="G400" t="inlineStr">
        <is>
          <t>KALIX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46256</v>
      </c>
      <c r="F401" t="inlineStr">
        <is>
          <t>NORRBOTTENS LÄN</t>
        </is>
      </c>
      <c r="G401" t="inlineStr">
        <is>
          <t>KALIX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46221</v>
      </c>
      <c r="E402" s="1" t="n">
        <v>46256</v>
      </c>
      <c r="F402" t="inlineStr">
        <is>
          <t>NORRBOTTENS LÄN</t>
        </is>
      </c>
      <c r="G402" t="inlineStr">
        <is>
          <t>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44956</v>
      </c>
      <c r="E403" s="1" t="n">
        <v>46256</v>
      </c>
      <c r="F403" t="inlineStr">
        <is>
          <t>NORRBOTTENS LÄN</t>
        </is>
      </c>
      <c r="G403" t="inlineStr">
        <is>
          <t>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46256</v>
      </c>
      <c r="F404" t="inlineStr">
        <is>
          <t>NORRBOTTENS LÄN</t>
        </is>
      </c>
      <c r="G404" t="inlineStr">
        <is>
          <t>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46256</v>
      </c>
      <c r="F405" t="inlineStr">
        <is>
          <t>NORRBOTTENS LÄN</t>
        </is>
      </c>
      <c r="G405" t="inlineStr">
        <is>
          <t>KALIX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45415</v>
      </c>
      <c r="E406" s="1" t="n">
        <v>46256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46256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46256</v>
      </c>
      <c r="F408" t="inlineStr">
        <is>
          <t>NORRBOTTENS LÄN</t>
        </is>
      </c>
      <c r="G408" t="inlineStr">
        <is>
          <t>KALIX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44894</v>
      </c>
      <c r="E409" s="1" t="n">
        <v>46256</v>
      </c>
      <c r="F409" t="inlineStr">
        <is>
          <t>NORRBOTTENS LÄN</t>
        </is>
      </c>
      <c r="G409" t="inlineStr">
        <is>
          <t>KALIX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46256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10547-2026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46077</v>
      </c>
      <c r="E411" s="1" t="n">
        <v>46256</v>
      </c>
      <c r="F411" t="inlineStr">
        <is>
          <t>NORRBOTTENS LÄN</t>
        </is>
      </c>
      <c r="G411" t="inlineStr">
        <is>
          <t>KALIX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46225</v>
      </c>
      <c r="E412" s="1" t="n">
        <v>46256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44901</v>
      </c>
      <c r="E413" s="1" t="n">
        <v>46256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45505</v>
      </c>
      <c r="E414" s="1" t="n">
        <v>46256</v>
      </c>
      <c r="F414" t="inlineStr">
        <is>
          <t>NORRBOTTENS LÄN</t>
        </is>
      </c>
      <c r="G414" t="inlineStr">
        <is>
          <t>KALIX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46256</v>
      </c>
      <c r="F415" t="inlineStr">
        <is>
          <t>NORRBOTTENS LÄN</t>
        </is>
      </c>
      <c r="G415" t="inlineStr">
        <is>
          <t>KALIX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46256</v>
      </c>
      <c r="F416" t="inlineStr">
        <is>
          <t>NORRBOTTENS LÄN</t>
        </is>
      </c>
      <c r="G416" t="inlineStr">
        <is>
          <t>KALIX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46256</v>
      </c>
      <c r="F417" t="inlineStr">
        <is>
          <t>NORRBOTTENS LÄN</t>
        </is>
      </c>
      <c r="G417" t="inlineStr">
        <is>
          <t>KALIX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45054</v>
      </c>
      <c r="E418" s="1" t="n">
        <v>46256</v>
      </c>
      <c r="F418" t="inlineStr">
        <is>
          <t>NORRBOTTENS LÄN</t>
        </is>
      </c>
      <c r="G418" t="inlineStr">
        <is>
          <t>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46256</v>
      </c>
      <c r="F419" t="inlineStr">
        <is>
          <t>NORRBOTTENS LÄN</t>
        </is>
      </c>
      <c r="G419" t="inlineStr">
        <is>
          <t>KALIX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46256</v>
      </c>
      <c r="F420" t="inlineStr">
        <is>
          <t>NORRBOTTENS LÄN</t>
        </is>
      </c>
      <c r="G420" t="inlineStr">
        <is>
          <t>KALIX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46256</v>
      </c>
      <c r="F421" t="inlineStr">
        <is>
          <t>NORRBOTTENS LÄN</t>
        </is>
      </c>
      <c r="G421" t="inlineStr">
        <is>
          <t>KALIX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46256</v>
      </c>
      <c r="F422" t="inlineStr">
        <is>
          <t>NORRBOTTENS LÄN</t>
        </is>
      </c>
      <c r="G422" t="inlineStr">
        <is>
          <t>KALIX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46256</v>
      </c>
      <c r="F423" t="inlineStr">
        <is>
          <t>NORRBOTTENS LÄN</t>
        </is>
      </c>
      <c r="G423" t="inlineStr">
        <is>
          <t>KALIX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46256</v>
      </c>
      <c r="F424" t="inlineStr">
        <is>
          <t>NORRBOTTENS LÄN</t>
        </is>
      </c>
      <c r="G424" t="inlineStr">
        <is>
          <t>KALIX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46256</v>
      </c>
      <c r="F425" t="inlineStr">
        <is>
          <t>NORRBOTTENS LÄN</t>
        </is>
      </c>
      <c r="G425" t="inlineStr">
        <is>
          <t>KALIX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46256</v>
      </c>
      <c r="F426" t="inlineStr">
        <is>
          <t>NORRBOTTENS LÄN</t>
        </is>
      </c>
      <c r="G426" t="inlineStr">
        <is>
          <t>KALIX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13834-2026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46098</v>
      </c>
      <c r="E427" s="1" t="n">
        <v>46256</v>
      </c>
      <c r="F427" t="inlineStr">
        <is>
          <t>NORRBOTTENS LÄN</t>
        </is>
      </c>
      <c r="G427" t="inlineStr">
        <is>
          <t>KALIX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46256</v>
      </c>
      <c r="F428" t="inlineStr">
        <is>
          <t>NORRBOTTENS LÄN</t>
        </is>
      </c>
      <c r="G428" t="inlineStr">
        <is>
          <t>KALIX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46097</v>
      </c>
      <c r="E429" s="1" t="n">
        <v>46256</v>
      </c>
      <c r="F429" t="inlineStr">
        <is>
          <t>NORRBOTTENS LÄN</t>
        </is>
      </c>
      <c r="G429" t="inlineStr">
        <is>
          <t>KALIX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45392</v>
      </c>
      <c r="E430" s="1" t="n">
        <v>46256</v>
      </c>
      <c r="F430" t="inlineStr">
        <is>
          <t>NORRBOTTENS LÄN</t>
        </is>
      </c>
      <c r="G430" t="inlineStr">
        <is>
          <t>KALIX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45044</v>
      </c>
      <c r="E431" s="1" t="n">
        <v>46256</v>
      </c>
      <c r="F431" t="inlineStr">
        <is>
          <t>NORRBOTTENS LÄN</t>
        </is>
      </c>
      <c r="G431" t="inlineStr">
        <is>
          <t>KALIX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46256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46256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46256</v>
      </c>
      <c r="F434" t="inlineStr">
        <is>
          <t>NORRBOTTENS LÄN</t>
        </is>
      </c>
      <c r="G434" t="inlineStr">
        <is>
          <t>KALIX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46234</v>
      </c>
      <c r="E435" s="1" t="n">
        <v>46256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32114-2026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46233</v>
      </c>
      <c r="E436" s="1" t="n">
        <v>46256</v>
      </c>
      <c r="F436" t="inlineStr">
        <is>
          <t>NORRBOTTENS LÄN</t>
        </is>
      </c>
      <c r="G436" t="inlineStr">
        <is>
          <t>KALIX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46256</v>
      </c>
      <c r="F437" t="inlineStr">
        <is>
          <t>NORRBOTTENS LÄN</t>
        </is>
      </c>
      <c r="G437" t="inlineStr">
        <is>
          <t>KALIX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46256</v>
      </c>
      <c r="F438" t="inlineStr">
        <is>
          <t>NORRBOTTENS LÄN</t>
        </is>
      </c>
      <c r="G438" t="inlineStr">
        <is>
          <t>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46256</v>
      </c>
      <c r="F439" t="inlineStr">
        <is>
          <t>NORRBOTTENS LÄN</t>
        </is>
      </c>
      <c r="G439" t="inlineStr">
        <is>
          <t>KALIX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46233</v>
      </c>
      <c r="E440" s="1" t="n">
        <v>46256</v>
      </c>
      <c r="F440" t="inlineStr">
        <is>
          <t>NORRBOTTENS LÄN</t>
        </is>
      </c>
      <c r="G440" t="inlineStr">
        <is>
          <t>KALIX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44712</v>
      </c>
      <c r="E441" s="1" t="n">
        <v>46256</v>
      </c>
      <c r="F441" t="inlineStr">
        <is>
          <t>NORRBOTTENS LÄN</t>
        </is>
      </c>
      <c r="G441" t="inlineStr">
        <is>
          <t>KALIX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46256</v>
      </c>
      <c r="F442" t="inlineStr">
        <is>
          <t>NORRBOTTENS LÄN</t>
        </is>
      </c>
      <c r="G442" t="inlineStr">
        <is>
          <t>KALIX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46256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46256</v>
      </c>
      <c r="F444" t="inlineStr">
        <is>
          <t>NORRBOTTENS LÄN</t>
        </is>
      </c>
      <c r="G444" t="inlineStr">
        <is>
          <t>KALIX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46256</v>
      </c>
      <c r="F445" t="inlineStr">
        <is>
          <t>NORRBOTTENS LÄN</t>
        </is>
      </c>
      <c r="G445" t="inlineStr">
        <is>
          <t>KALIX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46256</v>
      </c>
      <c r="F446" t="inlineStr">
        <is>
          <t>NORRBOTTENS LÄN</t>
        </is>
      </c>
      <c r="G446" t="inlineStr">
        <is>
          <t>KALIX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46256</v>
      </c>
      <c r="F447" t="inlineStr">
        <is>
          <t>NORRBOTTENS LÄN</t>
        </is>
      </c>
      <c r="G447" t="inlineStr">
        <is>
          <t>KALIX</t>
        </is>
      </c>
      <c r="I447" t="n">
        <v>8.800000000000001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28155-2026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46195</v>
      </c>
      <c r="E448" s="1" t="n">
        <v>46256</v>
      </c>
      <c r="F448" t="inlineStr">
        <is>
          <t>NORRBOTTENS LÄN</t>
        </is>
      </c>
      <c r="G448" t="inlineStr">
        <is>
          <t>KALIX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51839-2023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46256</v>
      </c>
      <c r="F449" t="inlineStr">
        <is>
          <t>NORRBOTTENS LÄN</t>
        </is>
      </c>
      <c r="G449" t="inlineStr">
        <is>
          <t>KALIX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46256</v>
      </c>
      <c r="F450" t="inlineStr">
        <is>
          <t>NORRBOTTENS LÄN</t>
        </is>
      </c>
      <c r="G450" t="inlineStr">
        <is>
          <t>KALIX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46256</v>
      </c>
      <c r="F451" t="inlineStr">
        <is>
          <t>NORRBOTTENS LÄN</t>
        </is>
      </c>
      <c r="G451" t="inlineStr">
        <is>
          <t>KALIX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46256</v>
      </c>
      <c r="F452" t="inlineStr">
        <is>
          <t>NORRBOTTENS LÄN</t>
        </is>
      </c>
      <c r="G452" t="inlineStr">
        <is>
          <t>KALIX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45044</v>
      </c>
      <c r="E453" s="1" t="n">
        <v>46256</v>
      </c>
      <c r="F453" t="inlineStr">
        <is>
          <t>NORRBOTTENS LÄN</t>
        </is>
      </c>
      <c r="G453" t="inlineStr">
        <is>
          <t>KALIX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46256</v>
      </c>
      <c r="F454" t="inlineStr">
        <is>
          <t>NORRBOTTENS LÄN</t>
        </is>
      </c>
      <c r="G454" t="inlineStr">
        <is>
          <t>KALIX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46256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46256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46256</v>
      </c>
      <c r="F457" t="inlineStr">
        <is>
          <t>NORRBOTTENS LÄN</t>
        </is>
      </c>
      <c r="G457" t="inlineStr">
        <is>
          <t>KALIX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46256</v>
      </c>
      <c r="F458" t="inlineStr">
        <is>
          <t>NORRBOTTENS LÄN</t>
        </is>
      </c>
      <c r="G458" t="inlineStr">
        <is>
          <t>KALIX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46256</v>
      </c>
      <c r="F459" t="inlineStr">
        <is>
          <t>NORRBOTTENS LÄN</t>
        </is>
      </c>
      <c r="G459" t="inlineStr">
        <is>
          <t>KALIX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46256</v>
      </c>
      <c r="F460" t="inlineStr">
        <is>
          <t>NORRBOTTENS LÄN</t>
        </is>
      </c>
      <c r="G460" t="inlineStr">
        <is>
          <t>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46256</v>
      </c>
      <c r="F461" t="inlineStr">
        <is>
          <t>NORRBOTTENS LÄN</t>
        </is>
      </c>
      <c r="G461" t="inlineStr">
        <is>
          <t>KALIX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46135</v>
      </c>
      <c r="E462" s="1" t="n">
        <v>46256</v>
      </c>
      <c r="F462" t="inlineStr">
        <is>
          <t>NORRBOTTENS LÄN</t>
        </is>
      </c>
      <c r="G462" t="inlineStr">
        <is>
          <t>KALIX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46256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46256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46256</v>
      </c>
      <c r="F465" t="inlineStr">
        <is>
          <t>NORRBOTTENS LÄN</t>
        </is>
      </c>
      <c r="G465" t="inlineStr">
        <is>
          <t>KALIX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46256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46246</v>
      </c>
      <c r="E467" s="1" t="n">
        <v>46256</v>
      </c>
      <c r="F467" t="inlineStr">
        <is>
          <t>NORRBOTTENS LÄN</t>
        </is>
      </c>
      <c r="G467" t="inlineStr">
        <is>
          <t>KALIX</t>
        </is>
      </c>
      <c r="I467" t="n">
        <v>19.3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46256</v>
      </c>
      <c r="F468" t="inlineStr">
        <is>
          <t>NORRBOTTENS LÄN</t>
        </is>
      </c>
      <c r="G468" t="inlineStr">
        <is>
          <t>KALIX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46256</v>
      </c>
      <c r="F469" t="inlineStr">
        <is>
          <t>NORRBOTTENS LÄN</t>
        </is>
      </c>
      <c r="G469" t="inlineStr">
        <is>
          <t>KALIX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46256</v>
      </c>
      <c r="F470" t="inlineStr">
        <is>
          <t>NORRBOTTENS LÄN</t>
        </is>
      </c>
      <c r="G470" t="inlineStr">
        <is>
          <t>KALIX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46256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46256</v>
      </c>
      <c r="F472" t="inlineStr">
        <is>
          <t>NORRBOTTENS LÄN</t>
        </is>
      </c>
      <c r="G472" t="inlineStr">
        <is>
          <t>KALIX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46246</v>
      </c>
      <c r="E473" s="1" t="n">
        <v>46256</v>
      </c>
      <c r="F473" t="inlineStr">
        <is>
          <t>NORRBOTTENS LÄN</t>
        </is>
      </c>
      <c r="G473" t="inlineStr">
        <is>
          <t>KALIX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22480-2024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45446</v>
      </c>
      <c r="E474" s="1" t="n">
        <v>46256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44992</v>
      </c>
      <c r="E475" s="1" t="n">
        <v>46256</v>
      </c>
      <c r="F475" t="inlineStr">
        <is>
          <t>NORRBOTTENS LÄN</t>
        </is>
      </c>
      <c r="G475" t="inlineStr">
        <is>
          <t>KALIX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46256</v>
      </c>
      <c r="F476" t="inlineStr">
        <is>
          <t>NORRBOTTENS LÄN</t>
        </is>
      </c>
      <c r="G476" t="inlineStr">
        <is>
          <t>KALIX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46256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46256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46256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46248</v>
      </c>
      <c r="E480" s="1" t="n">
        <v>46256</v>
      </c>
      <c r="F480" t="inlineStr">
        <is>
          <t>NORRBOTTENS LÄN</t>
        </is>
      </c>
      <c r="G480" t="inlineStr">
        <is>
          <t>KALIX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69886-2021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44532</v>
      </c>
      <c r="E481" s="1" t="n">
        <v>46256</v>
      </c>
      <c r="F481" t="inlineStr">
        <is>
          <t>NORRBOTTENS LÄN</t>
        </is>
      </c>
      <c r="G481" t="inlineStr">
        <is>
          <t>KALIX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46256</v>
      </c>
      <c r="F482" t="inlineStr">
        <is>
          <t>NORRBOTTENS LÄN</t>
        </is>
      </c>
      <c r="G482" t="inlineStr">
        <is>
          <t>KALIX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59021-2022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46256</v>
      </c>
      <c r="F483" t="inlineStr">
        <is>
          <t>NORRBOTTENS LÄN</t>
        </is>
      </c>
      <c r="G483" t="inlineStr">
        <is>
          <t>KALIX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46256</v>
      </c>
      <c r="F484" t="inlineStr">
        <is>
          <t>NORRBOTTENS LÄN</t>
        </is>
      </c>
      <c r="G484" t="inlineStr">
        <is>
          <t>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46256</v>
      </c>
      <c r="F485" t="inlineStr">
        <is>
          <t>NORRBOTTENS LÄN</t>
        </is>
      </c>
      <c r="G485" t="inlineStr">
        <is>
          <t>KALIX</t>
        </is>
      </c>
      <c r="I485" t="n">
        <v>17.7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46256</v>
      </c>
      <c r="F486" t="inlineStr">
        <is>
          <t>NORRBOTTENS LÄN</t>
        </is>
      </c>
      <c r="G486" t="inlineStr">
        <is>
          <t>KALIX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44862</v>
      </c>
      <c r="E487" s="1" t="n">
        <v>46256</v>
      </c>
      <c r="F487" t="inlineStr">
        <is>
          <t>NORRBOTTENS LÄN</t>
        </is>
      </c>
      <c r="G487" t="inlineStr">
        <is>
          <t>KALIX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46256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46256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34056-2026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46256</v>
      </c>
      <c r="F490" t="inlineStr">
        <is>
          <t>NORRBOTTENS LÄN</t>
        </is>
      </c>
      <c r="G490" t="inlineStr">
        <is>
          <t>KALIX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46256</v>
      </c>
      <c r="F491" t="inlineStr">
        <is>
          <t>NORRBOTTENS LÄN</t>
        </is>
      </c>
      <c r="G491" t="inlineStr">
        <is>
          <t>KALIX</t>
        </is>
      </c>
      <c r="I491" t="n">
        <v>14.5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20357-2023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46256</v>
      </c>
      <c r="F492" t="inlineStr">
        <is>
          <t>NORRBOTTENS LÄN</t>
        </is>
      </c>
      <c r="G492" t="inlineStr">
        <is>
          <t>KALIX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45573</v>
      </c>
      <c r="E493" s="1" t="n">
        <v>46256</v>
      </c>
      <c r="F493" t="inlineStr">
        <is>
          <t>NORRBOTTENS LÄN</t>
        </is>
      </c>
      <c r="G493" t="inlineStr">
        <is>
          <t>KALIX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46256</v>
      </c>
      <c r="F494" t="inlineStr">
        <is>
          <t>NORRBOTTENS LÄN</t>
        </is>
      </c>
      <c r="G494" t="inlineStr">
        <is>
          <t>KALIX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46256</v>
      </c>
      <c r="F495" t="inlineStr">
        <is>
          <t>NORRBOTTENS LÄN</t>
        </is>
      </c>
      <c r="G495" t="inlineStr">
        <is>
          <t>KALIX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46256</v>
      </c>
      <c r="F496" t="inlineStr">
        <is>
          <t>NORRBOTTENS LÄN</t>
        </is>
      </c>
      <c r="G496" t="inlineStr">
        <is>
          <t>KALIX</t>
        </is>
      </c>
      <c r="H496" t="inlineStr">
        <is>
          <t>Sveaskog</t>
        </is>
      </c>
      <c r="I496" t="n">
        <v>17.8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46256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46256</v>
      </c>
      <c r="F498" t="inlineStr">
        <is>
          <t>NORRBOTTENS LÄN</t>
        </is>
      </c>
      <c r="G498" t="inlineStr">
        <is>
          <t>KALIX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57939-2023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45247</v>
      </c>
      <c r="E499" s="1" t="n">
        <v>46256</v>
      </c>
      <c r="F499" t="inlineStr">
        <is>
          <t>NORRBOTTENS LÄN</t>
        </is>
      </c>
      <c r="G499" t="inlineStr">
        <is>
          <t>KALIX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9193-2026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46070</v>
      </c>
      <c r="E500" s="1" t="n">
        <v>46256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46256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46256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11856-2023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44995</v>
      </c>
      <c r="E503" s="1" t="n">
        <v>46256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46256</v>
      </c>
      <c r="F504" t="inlineStr">
        <is>
          <t>NORRBOTTENS LÄN</t>
        </is>
      </c>
      <c r="G504" t="inlineStr">
        <is>
          <t>KALIX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45708</v>
      </c>
      <c r="E505" s="1" t="n">
        <v>46256</v>
      </c>
      <c r="F505" t="inlineStr">
        <is>
          <t>NORRBOTTENS LÄN</t>
        </is>
      </c>
      <c r="G505" t="inlineStr">
        <is>
          <t>KALIX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46256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46256</v>
      </c>
      <c r="F507" t="inlineStr">
        <is>
          <t>NORRBOTTENS LÄN</t>
        </is>
      </c>
      <c r="G507" t="inlineStr">
        <is>
          <t>KALIX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46256</v>
      </c>
      <c r="F508" t="inlineStr">
        <is>
          <t>NORRBOTTENS LÄN</t>
        </is>
      </c>
      <c r="G508" t="inlineStr">
        <is>
          <t>KALIX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45419</v>
      </c>
      <c r="E509" s="1" t="n">
        <v>46256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45665</v>
      </c>
      <c r="E510" s="1" t="n">
        <v>46256</v>
      </c>
      <c r="F510" t="inlineStr">
        <is>
          <t>NORRBOTTENS LÄN</t>
        </is>
      </c>
      <c r="G510" t="inlineStr">
        <is>
          <t>KALIX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45629</v>
      </c>
      <c r="E511" s="1" t="n">
        <v>46256</v>
      </c>
      <c r="F511" t="inlineStr">
        <is>
          <t>NORRBOTTENS LÄN</t>
        </is>
      </c>
      <c r="G511" t="inlineStr">
        <is>
          <t>KALIX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46256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46256</v>
      </c>
      <c r="F513" t="inlineStr">
        <is>
          <t>NORRBOTTENS LÄN</t>
        </is>
      </c>
      <c r="G513" t="inlineStr">
        <is>
          <t>KALIX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45679</v>
      </c>
      <c r="E514" s="1" t="n">
        <v>46256</v>
      </c>
      <c r="F514" t="inlineStr">
        <is>
          <t>NORRBOTTENS LÄN</t>
        </is>
      </c>
      <c r="G514" t="inlineStr">
        <is>
          <t>KALIX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46256</v>
      </c>
      <c r="F515" t="inlineStr">
        <is>
          <t>NORRBOTTENS LÄN</t>
        </is>
      </c>
      <c r="G515" t="inlineStr">
        <is>
          <t>KALIX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46256</v>
      </c>
      <c r="F516" t="inlineStr">
        <is>
          <t>NORRBOTTENS LÄN</t>
        </is>
      </c>
      <c r="G516" t="inlineStr">
        <is>
          <t>KALIX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46256</v>
      </c>
      <c r="F517" t="inlineStr">
        <is>
          <t>NORRBOTTENS LÄN</t>
        </is>
      </c>
      <c r="G517" t="inlineStr">
        <is>
          <t>KALIX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35051-2023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45145</v>
      </c>
      <c r="E518" s="1" t="n">
        <v>46256</v>
      </c>
      <c r="F518" t="inlineStr">
        <is>
          <t>NORRBOTTENS LÄN</t>
        </is>
      </c>
      <c r="G518" t="inlineStr">
        <is>
          <t>KALIX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46256</v>
      </c>
      <c r="F519" t="inlineStr">
        <is>
          <t>NORRBOTTENS LÄN</t>
        </is>
      </c>
      <c r="G519" t="inlineStr">
        <is>
          <t>KALIX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46256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45881</v>
      </c>
      <c r="E521" s="1" t="n">
        <v>46256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46256</v>
      </c>
      <c r="F522" t="inlineStr">
        <is>
          <t>NORRBOTTENS LÄN</t>
        </is>
      </c>
      <c r="G522" t="inlineStr">
        <is>
          <t>KALIX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46256</v>
      </c>
      <c r="F523" t="inlineStr">
        <is>
          <t>NORRBOTTENS LÄN</t>
        </is>
      </c>
      <c r="G523" t="inlineStr">
        <is>
          <t>KALIX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46256</v>
      </c>
      <c r="F524" t="inlineStr">
        <is>
          <t>NORRBOTTENS LÄN</t>
        </is>
      </c>
      <c r="G524" t="inlineStr">
        <is>
          <t>KALIX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21169-2026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46146</v>
      </c>
      <c r="E525" s="1" t="n">
        <v>46256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46256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46256</v>
      </c>
      <c r="F527" t="inlineStr">
        <is>
          <t>NORRBOTTENS LÄN</t>
        </is>
      </c>
      <c r="G527" t="inlineStr">
        <is>
          <t>KALIX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46256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58575-2022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44894</v>
      </c>
      <c r="E529" s="1" t="n">
        <v>46256</v>
      </c>
      <c r="F529" t="inlineStr">
        <is>
          <t>NORRBOTTENS LÄN</t>
        </is>
      </c>
      <c r="G529" t="inlineStr">
        <is>
          <t>KALIX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46256</v>
      </c>
      <c r="F530" t="inlineStr">
        <is>
          <t>NORRBOTTENS LÄN</t>
        </is>
      </c>
      <c r="G530" t="inlineStr">
        <is>
          <t>KALIX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45163</v>
      </c>
      <c r="E531" s="1" t="n">
        <v>46256</v>
      </c>
      <c r="F531" t="inlineStr">
        <is>
          <t>NORRBOTTENS LÄN</t>
        </is>
      </c>
      <c r="G531" t="inlineStr">
        <is>
          <t>KALIX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46256</v>
      </c>
      <c r="F532" t="inlineStr">
        <is>
          <t>NORRBOTTENS LÄN</t>
        </is>
      </c>
      <c r="G532" t="inlineStr">
        <is>
          <t>KALIX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62139-2023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45266</v>
      </c>
      <c r="E533" s="1" t="n">
        <v>46256</v>
      </c>
      <c r="F533" t="inlineStr">
        <is>
          <t>NORRBOTTENS LÄN</t>
        </is>
      </c>
      <c r="G533" t="inlineStr">
        <is>
          <t>KALIX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46256</v>
      </c>
      <c r="F534" t="inlineStr">
        <is>
          <t>NORRBOTTENS LÄN</t>
        </is>
      </c>
      <c r="G534" t="inlineStr">
        <is>
          <t>KALIX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46256</v>
      </c>
      <c r="F535" t="inlineStr">
        <is>
          <t>NORRBOTTENS LÄN</t>
        </is>
      </c>
      <c r="G535" t="inlineStr">
        <is>
          <t>KALIX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46256</v>
      </c>
      <c r="F536" t="inlineStr">
        <is>
          <t>NORRBOTTENS LÄN</t>
        </is>
      </c>
      <c r="G536" t="inlineStr">
        <is>
          <t>KALIX</t>
        </is>
      </c>
      <c r="H536" t="inlineStr">
        <is>
          <t>Sveaskog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46256</v>
      </c>
      <c r="F537" t="inlineStr">
        <is>
          <t>NORRBOTTENS LÄN</t>
        </is>
      </c>
      <c r="G537" t="inlineStr">
        <is>
          <t>KALIX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46256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46256</v>
      </c>
      <c r="F539" t="inlineStr">
        <is>
          <t>NORRBOTTENS LÄN</t>
        </is>
      </c>
      <c r="G539" t="inlineStr">
        <is>
          <t>KALIX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46256</v>
      </c>
      <c r="F540" t="inlineStr">
        <is>
          <t>NORRBOTTENS LÄN</t>
        </is>
      </c>
      <c r="G540" t="inlineStr">
        <is>
          <t>KALIX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62444-2022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44924</v>
      </c>
      <c r="E541" s="1" t="n">
        <v>46256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62983-2025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46256</v>
      </c>
      <c r="F542" t="inlineStr">
        <is>
          <t>NORRBOTTENS LÄN</t>
        </is>
      </c>
      <c r="G542" t="inlineStr">
        <is>
          <t>KALIX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45986</v>
      </c>
      <c r="E543" s="1" t="n">
        <v>46256</v>
      </c>
      <c r="F543" t="inlineStr">
        <is>
          <t>NORRBOTTENS LÄN</t>
        </is>
      </c>
      <c r="G543" t="inlineStr">
        <is>
          <t>KALIX</t>
        </is>
      </c>
      <c r="H543" t="inlineStr">
        <is>
          <t>Kommuner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46256</v>
      </c>
      <c r="F544" t="inlineStr">
        <is>
          <t>NORRBOTTENS LÄN</t>
        </is>
      </c>
      <c r="G544" t="inlineStr">
        <is>
          <t>KALIX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46256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46256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46256</v>
      </c>
      <c r="F547" t="inlineStr">
        <is>
          <t>NORRBOTTENS LÄN</t>
        </is>
      </c>
      <c r="G547" t="inlineStr">
        <is>
          <t>KALIX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46256</v>
      </c>
      <c r="F548" t="inlineStr">
        <is>
          <t>NORRBOTTENS LÄN</t>
        </is>
      </c>
      <c r="G548" t="inlineStr">
        <is>
          <t>KALIX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46622-2021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46256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46256</v>
      </c>
      <c r="F550" t="inlineStr">
        <is>
          <t>NORRBOTTENS LÄN</t>
        </is>
      </c>
      <c r="G550" t="inlineStr">
        <is>
          <t>KALIX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46256</v>
      </c>
      <c r="F551" t="inlineStr">
        <is>
          <t>NORRBOTTENS LÄN</t>
        </is>
      </c>
      <c r="G551" t="inlineStr">
        <is>
          <t>KALIX</t>
        </is>
      </c>
      <c r="H551" t="inlineStr">
        <is>
          <t>Kommuner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46256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46256</v>
      </c>
      <c r="F553" t="inlineStr">
        <is>
          <t>NORRBOTTENS LÄN</t>
        </is>
      </c>
      <c r="G553" t="inlineStr">
        <is>
          <t>KALIX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46081</v>
      </c>
      <c r="E554" s="1" t="n">
        <v>46256</v>
      </c>
      <c r="F554" t="inlineStr">
        <is>
          <t>NORRBOTTENS LÄN</t>
        </is>
      </c>
      <c r="G554" t="inlineStr">
        <is>
          <t>KALIX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45777</v>
      </c>
      <c r="E555" s="1" t="n">
        <v>46256</v>
      </c>
      <c r="F555" t="inlineStr">
        <is>
          <t>NORRBOTTENS LÄN</t>
        </is>
      </c>
      <c r="G555" t="inlineStr">
        <is>
          <t>KALIX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46256</v>
      </c>
      <c r="F556" t="inlineStr">
        <is>
          <t>NORRBOTTENS LÄN</t>
        </is>
      </c>
      <c r="G556" t="inlineStr">
        <is>
          <t>KALIX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46256</v>
      </c>
      <c r="F557" t="inlineStr">
        <is>
          <t>NORRBOTTENS LÄN</t>
        </is>
      </c>
      <c r="G557" t="inlineStr">
        <is>
          <t>KALIX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45005</v>
      </c>
      <c r="E558" s="1" t="n">
        <v>46256</v>
      </c>
      <c r="F558" t="inlineStr">
        <is>
          <t>NORRBOTTENS LÄN</t>
        </is>
      </c>
      <c r="G558" t="inlineStr">
        <is>
          <t>KALIX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46256</v>
      </c>
      <c r="F559" t="inlineStr">
        <is>
          <t>NORRBOTTENS LÄN</t>
        </is>
      </c>
      <c r="G559" t="inlineStr">
        <is>
          <t>KALIX</t>
        </is>
      </c>
      <c r="I559" t="n">
        <v>14.8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46256</v>
      </c>
      <c r="F560" t="inlineStr">
        <is>
          <t>NORRBOTTENS LÄN</t>
        </is>
      </c>
      <c r="G560" t="inlineStr">
        <is>
          <t>KALIX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46256</v>
      </c>
      <c r="F561" t="inlineStr">
        <is>
          <t>NORRBOTTENS LÄN</t>
        </is>
      </c>
      <c r="G561" t="inlineStr">
        <is>
          <t>KALIX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46256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46256</v>
      </c>
      <c r="F563" t="inlineStr">
        <is>
          <t>NORRBOTTENS LÄN</t>
        </is>
      </c>
      <c r="G563" t="inlineStr">
        <is>
          <t>KALIX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21875-2025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45784</v>
      </c>
      <c r="E564" s="1" t="n">
        <v>46256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46256</v>
      </c>
      <c r="F565" t="inlineStr">
        <is>
          <t>NORRBOTTENS LÄN</t>
        </is>
      </c>
      <c r="G565" t="inlineStr">
        <is>
          <t>KALIX</t>
        </is>
      </c>
      <c r="I565" t="n">
        <v>13.5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46256</v>
      </c>
      <c r="F566" t="inlineStr">
        <is>
          <t>NORRBOTTENS LÄN</t>
        </is>
      </c>
      <c r="G566" t="inlineStr">
        <is>
          <t>KALIX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46256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45268</v>
      </c>
      <c r="E568" s="1" t="n">
        <v>46256</v>
      </c>
      <c r="F568" t="inlineStr">
        <is>
          <t>NORRBOTTENS LÄN</t>
        </is>
      </c>
      <c r="G568" t="inlineStr">
        <is>
          <t>KALIX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62525-2022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44917</v>
      </c>
      <c r="E569" s="1" t="n">
        <v>46256</v>
      </c>
      <c r="F569" t="inlineStr">
        <is>
          <t>NORRBOTTENS LÄN</t>
        </is>
      </c>
      <c r="G569" t="inlineStr">
        <is>
          <t>KALIX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46256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45363</v>
      </c>
      <c r="E571" s="1" t="n">
        <v>46256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46256</v>
      </c>
      <c r="F572" t="inlineStr">
        <is>
          <t>NORRBOTTENS LÄN</t>
        </is>
      </c>
      <c r="G572" t="inlineStr">
        <is>
          <t>KALIX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46256</v>
      </c>
      <c r="F573" t="inlineStr">
        <is>
          <t>NORRBOTTENS LÄN</t>
        </is>
      </c>
      <c r="G573" t="inlineStr">
        <is>
          <t>KALIX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46256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2172-2022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44678</v>
      </c>
      <c r="E575" s="1" t="n">
        <v>46256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1138-2024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45393</v>
      </c>
      <c r="E576" s="1" t="n">
        <v>46256</v>
      </c>
      <c r="F576" t="inlineStr">
        <is>
          <t>NORRBOTTENS LÄN</t>
        </is>
      </c>
      <c r="G576" t="inlineStr">
        <is>
          <t>KALIX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1658-2023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45061</v>
      </c>
      <c r="E577" s="1" t="n">
        <v>46256</v>
      </c>
      <c r="F577" t="inlineStr">
        <is>
          <t>NORRBOTTENS LÄN</t>
        </is>
      </c>
      <c r="G577" t="inlineStr">
        <is>
          <t>KALIX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157-2023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44944</v>
      </c>
      <c r="E578" s="1" t="n">
        <v>46256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1139-2024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46256</v>
      </c>
      <c r="F579" t="inlineStr">
        <is>
          <t>NORRBOTTENS LÄN</t>
        </is>
      </c>
      <c r="G579" t="inlineStr">
        <is>
          <t>KALIX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1659-2023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46256</v>
      </c>
      <c r="F580" t="inlineStr">
        <is>
          <t>NORRBOTTENS LÄN</t>
        </is>
      </c>
      <c r="G580" t="inlineStr">
        <is>
          <t>KALIX</t>
        </is>
      </c>
      <c r="I580" t="n">
        <v>17.1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1131-2024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45393</v>
      </c>
      <c r="E581" s="1" t="n">
        <v>46256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1656-2023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45061</v>
      </c>
      <c r="E582" s="1" t="n">
        <v>46256</v>
      </c>
      <c r="F582" t="inlineStr">
        <is>
          <t>NORRBOTTENS LÄN</t>
        </is>
      </c>
      <c r="G582" t="inlineStr">
        <is>
          <t>KALIX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961-2024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45383</v>
      </c>
      <c r="E583" s="1" t="n">
        <v>46256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849-2025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45733</v>
      </c>
      <c r="E584" s="1" t="n">
        <v>46256</v>
      </c>
      <c r="F584" t="inlineStr">
        <is>
          <t>NORRBOTTENS LÄN</t>
        </is>
      </c>
      <c r="G584" t="inlineStr">
        <is>
          <t>KALIX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1018-2025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46256</v>
      </c>
      <c r="F585" t="inlineStr">
        <is>
          <t>NORRBOTTENS LÄN</t>
        </is>
      </c>
      <c r="G585" t="inlineStr">
        <is>
          <t>KALIX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1019-2025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46256</v>
      </c>
      <c r="F586" t="inlineStr">
        <is>
          <t>NORRBOTTENS LÄN</t>
        </is>
      </c>
      <c r="G586" t="inlineStr">
        <is>
          <t>KALIX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1017-2025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45747</v>
      </c>
      <c r="E587" s="1" t="n">
        <v>46256</v>
      </c>
      <c r="F587" t="inlineStr">
        <is>
          <t>NORRBOTTENS LÄN</t>
        </is>
      </c>
      <c r="G587" t="inlineStr">
        <is>
          <t>KALIX</t>
        </is>
      </c>
      <c r="I587" t="n">
        <v>15.7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1176-2025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45756</v>
      </c>
      <c r="E588" s="1" t="n">
        <v>46256</v>
      </c>
      <c r="F588" t="inlineStr">
        <is>
          <t>NORRBOTTENS LÄN</t>
        </is>
      </c>
      <c r="G588" t="inlineStr">
        <is>
          <t>KALIX</t>
        </is>
      </c>
      <c r="I588" t="n">
        <v>17.6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1356-2025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46256</v>
      </c>
      <c r="F589" t="inlineStr">
        <is>
          <t>NORRBOTTENS LÄN</t>
        </is>
      </c>
      <c r="G589" t="inlineStr">
        <is>
          <t>KALIX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1355-2025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45775</v>
      </c>
      <c r="E590" s="1" t="n">
        <v>46256</v>
      </c>
      <c r="F590" t="inlineStr">
        <is>
          <t>NORRBOTTENS LÄN</t>
        </is>
      </c>
      <c r="G590" t="inlineStr">
        <is>
          <t>KALIX</t>
        </is>
      </c>
      <c r="I590" t="n">
        <v>36.9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1493-2026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46162</v>
      </c>
      <c r="E591" s="1" t="n">
        <v>46256</v>
      </c>
      <c r="F591" t="inlineStr">
        <is>
          <t>NORRBOTTENS LÄN</t>
        </is>
      </c>
      <c r="G591" t="inlineStr">
        <is>
          <t>KALIX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46256</v>
      </c>
      <c r="F592" t="inlineStr">
        <is>
          <t>NORRBOTTENS LÄN</t>
        </is>
      </c>
      <c r="G592" t="inlineStr">
        <is>
          <t>KALIX</t>
        </is>
      </c>
      <c r="I592" t="n">
        <v>12.8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1797-2026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46190</v>
      </c>
      <c r="E593" s="1" t="n">
        <v>46256</v>
      </c>
      <c r="F593" t="inlineStr">
        <is>
          <t>NORRBOTTENS LÄN</t>
        </is>
      </c>
      <c r="G593" t="inlineStr">
        <is>
          <t>KALIX</t>
        </is>
      </c>
      <c r="I593" t="n">
        <v>17.6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2026-08-22T01:46:47Z</dcterms:created>
  <dcterms:modified xmlns:dcterms="http://purl.org/dc/terms/" xmlns:xsi="http://www.w3.org/2001/XMLSchema-instance" xsi:type="dcterms:W3CDTF">2026-08-22T01:46:48Z</dcterms:modified>
</cp:coreProperties>
</file>