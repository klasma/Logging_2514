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956-2026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46030</v>
      </c>
      <c r="E2" s="1" t="n">
        <v>46324</v>
      </c>
      <c r="F2" t="inlineStr">
        <is>
          <t>NORRBOTTENS LÄN</t>
        </is>
      </c>
      <c r="G2" t="inlineStr">
        <is>
          <t>KALIX</t>
        </is>
      </c>
      <c r="I2" t="n">
        <v>1.8</v>
      </c>
      <c r="J2" t="n">
        <v>10</v>
      </c>
      <c r="K2" t="n">
        <v>7</v>
      </c>
      <c r="L2" t="n">
        <v>4</v>
      </c>
      <c r="M2" t="n">
        <v>4</v>
      </c>
      <c r="N2" t="n">
        <v>0</v>
      </c>
      <c r="O2" t="n">
        <v>0</v>
      </c>
      <c r="P2" t="n">
        <v>0</v>
      </c>
      <c r="Q2" t="n">
        <v>8</v>
      </c>
      <c r="R2" t="n">
        <v>4</v>
      </c>
      <c r="S2" t="n">
        <v>23</v>
      </c>
      <c r="T2" t="n">
        <v>77</v>
      </c>
      <c r="U2" t="n">
        <v>74</v>
      </c>
      <c r="V2" s="2" t="inlineStr">
        <is>
          <t>Garnlav
Knottblomster
Knärot
Sprickporing
Blanksvart spiklav
Fjällig taggsvamp s.str.
Kötticka
Ullticka
Bronshjon
Gräsull
Plattlummer
Stuplav
Trådticka
Vedticka
Ögonpyrola
Järpe
Kransmossa
Spillkråka
Orre
Fläcknycklar
Nattviol
Vanliga ängsnycklar
Revlummer</t>
        </is>
      </c>
      <c r="W2">
        <f>HYPERLINK("https://klasma.github.io/Logging_2514/artfynd/A 956-2026 artfynd.xlsx", "A 956-2026")</f>
        <v/>
      </c>
      <c r="X2">
        <f>HYPERLINK("https://klasma.github.io/Logging_2514/kartor/A 956-2026 karta.png", "A 956-2026")</f>
        <v/>
      </c>
      <c r="Y2">
        <f>HYPERLINK("https://klasma.github.io/Logging_2514/kartor_geotiff/A 956-2026 georefererad karta.tif", "A 956-2026")</f>
        <v/>
      </c>
      <c r="Z2">
        <f>HYPERLINK("https://klasma.github.io/Logging_2514/knärot/A 956-2026 karta knärot.png", "A 956-2026")</f>
        <v/>
      </c>
      <c r="AA2">
        <f>HYPERLINK("https://klasma.github.io/Logging_2514/klagomål/A 956-2026 FSC-klagomål.docx", "A 956-2026")</f>
        <v/>
      </c>
      <c r="AB2">
        <f>HYPERLINK("https://klasma.github.io/Logging_2514/klagomålsmail/A 956-2026 FSC-klagomål mail.docx", "A 956-2026")</f>
        <v/>
      </c>
      <c r="AC2">
        <f>HYPERLINK("https://klasma.github.io/Logging_2514/tillsyn/A 956-2026 tillsynsbegäran.docx", "A 956-2026")</f>
        <v/>
      </c>
      <c r="AD2">
        <f>HYPERLINK("https://klasma.github.io/Logging_2514/tillsynsmail/A 956-2026 tillsynsbegäran mail.docx", "A 956-2026")</f>
        <v/>
      </c>
      <c r="AE2">
        <f>HYPERLINK("https://klasma.github.io/Logging_2514/fåglar/A 956-2026 prioriterade fågelarter.docx", "A 956-2026")</f>
        <v/>
      </c>
    </row>
    <row r="3" ht="15" customHeight="1">
      <c r="A3" t="inlineStr">
        <is>
          <t>A 32353-2026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46238</v>
      </c>
      <c r="E3" s="1" t="n">
        <v>46324</v>
      </c>
      <c r="F3" t="inlineStr">
        <is>
          <t>NORRBOTTENS LÄN</t>
        </is>
      </c>
      <c r="G3" t="inlineStr">
        <is>
          <t>KALIX</t>
        </is>
      </c>
      <c r="H3" t="inlineStr">
        <is>
          <t>Kyrkan</t>
        </is>
      </c>
      <c r="I3" t="n">
        <v>9.6</v>
      </c>
      <c r="J3" t="n">
        <v>5</v>
      </c>
      <c r="K3" t="n">
        <v>4</v>
      </c>
      <c r="L3" t="n">
        <v>12</v>
      </c>
      <c r="M3" t="n">
        <v>3</v>
      </c>
      <c r="N3" t="n">
        <v>0</v>
      </c>
      <c r="O3" t="n">
        <v>0</v>
      </c>
      <c r="P3" t="n">
        <v>0</v>
      </c>
      <c r="Q3" t="n">
        <v>15</v>
      </c>
      <c r="R3" t="n">
        <v>3</v>
      </c>
      <c r="S3" t="n">
        <v>22</v>
      </c>
      <c r="T3" t="n">
        <v>52</v>
      </c>
      <c r="U3" t="n">
        <v>51</v>
      </c>
      <c r="V3" s="2" t="inlineStr">
        <is>
          <t>Garnlav
Gränsticka
Tallgråticka
Blå taggsvamp
Dropptaggsvamp
Mjölsvärting
Motaggsvamp
Orange taggsvamp
Phellodon aquiloniniger
Rosenticka
Svartvit taggsvamp
Talltita
Tretåig hackspett
Ullticka
Vitgrynig nållav
Mörk husmossa
Nästlav
Plattlummer
Vedticka
Hultbräken
Spillkråka
Fläcknycklar</t>
        </is>
      </c>
      <c r="W3">
        <f>HYPERLINK("https://klasma.github.io/Logging_2514/artfynd/A 32353-2026 artfynd.xlsx", "A 32353-2026")</f>
        <v/>
      </c>
      <c r="X3">
        <f>HYPERLINK("https://klasma.github.io/Logging_2514/kartor/A 32353-2026 karta.png", "A 32353-2026")</f>
        <v/>
      </c>
      <c r="Y3">
        <f>HYPERLINK("https://klasma.github.io/Logging_2514/kartor_geotiff/A 32353-2026 georefererad karta.tif", "A 32353-2026")</f>
        <v/>
      </c>
      <c r="AA3">
        <f>HYPERLINK("https://klasma.github.io/Logging_2514/klagomål/A 32353-2026 FSC-klagomål.docx", "A 32353-2026")</f>
        <v/>
      </c>
      <c r="AB3">
        <f>HYPERLINK("https://klasma.github.io/Logging_2514/klagomålsmail/A 32353-2026 FSC-klagomål mail.docx", "A 32353-2026")</f>
        <v/>
      </c>
      <c r="AC3">
        <f>HYPERLINK("https://klasma.github.io/Logging_2514/tillsyn/A 32353-2026 tillsynsbegäran.docx", "A 32353-2026")</f>
        <v/>
      </c>
      <c r="AD3">
        <f>HYPERLINK("https://klasma.github.io/Logging_2514/tillsynsmail/A 32353-2026 tillsynsbegäran mail.docx", "A 32353-2026")</f>
        <v/>
      </c>
      <c r="AE3">
        <f>HYPERLINK("https://klasma.github.io/Logging_2514/fåglar/A 32353-2026 prioriterade fågelarter.docx", "A 32353-2026")</f>
        <v/>
      </c>
    </row>
    <row r="4" ht="15" customHeight="1">
      <c r="A4" t="inlineStr">
        <is>
          <t>A 69012-2021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44530</v>
      </c>
      <c r="E4" s="1" t="n">
        <v>46324</v>
      </c>
      <c r="F4" t="inlineStr">
        <is>
          <t>NORRBOTTENS LÄN</t>
        </is>
      </c>
      <c r="G4" t="inlineStr">
        <is>
          <t>KALIX</t>
        </is>
      </c>
      <c r="I4" t="n">
        <v>6</v>
      </c>
      <c r="J4" t="n">
        <v>7</v>
      </c>
      <c r="K4" t="n">
        <v>2</v>
      </c>
      <c r="L4" t="n">
        <v>4</v>
      </c>
      <c r="M4" t="n">
        <v>2</v>
      </c>
      <c r="N4" t="n">
        <v>0</v>
      </c>
      <c r="O4" t="n">
        <v>0</v>
      </c>
      <c r="P4" t="n">
        <v>0</v>
      </c>
      <c r="Q4" t="n">
        <v>6</v>
      </c>
      <c r="R4" t="n">
        <v>2</v>
      </c>
      <c r="S4" t="n">
        <v>13</v>
      </c>
      <c r="T4" t="n">
        <v>48</v>
      </c>
      <c r="U4" t="n">
        <v>48</v>
      </c>
      <c r="V4" s="2" t="inlineStr">
        <is>
          <t>Garnlav
Knärot
Gammelgransskål
Talltita
Ullticka
Äggvaxskivling
Bårdlav
Rödgul trumpetsvamp
Spillkråka
Kråka
Kungsfågel
Lopplummer (aggregat)
Revlummer</t>
        </is>
      </c>
      <c r="W4">
        <f>HYPERLINK("https://klasma.github.io/Logging_2514/artfynd/A 69012-2021 artfynd.xlsx", "A 69012-2021")</f>
        <v/>
      </c>
      <c r="X4">
        <f>HYPERLINK("https://klasma.github.io/Logging_2514/kartor/A 69012-2021 karta.png", "A 69012-2021")</f>
        <v/>
      </c>
      <c r="Y4">
        <f>HYPERLINK("https://klasma.github.io/Logging_2514/kartor_geotiff/A 69012-2021 georefererad karta.tif", "A 69012-2021")</f>
        <v/>
      </c>
      <c r="Z4">
        <f>HYPERLINK("https://klasma.github.io/Logging_2514/knärot/A 69012-2021 karta knärot.png", "A 69012-2021")</f>
        <v/>
      </c>
      <c r="AA4">
        <f>HYPERLINK("https://klasma.github.io/Logging_2514/klagomål/A 69012-2021 FSC-klagomål.docx", "A 69012-2021")</f>
        <v/>
      </c>
      <c r="AB4">
        <f>HYPERLINK("https://klasma.github.io/Logging_2514/klagomålsmail/A 69012-2021 FSC-klagomål mail.docx", "A 69012-2021")</f>
        <v/>
      </c>
      <c r="AC4">
        <f>HYPERLINK("https://klasma.github.io/Logging_2514/tillsyn/A 69012-2021 tillsynsbegäran.docx", "A 69012-2021")</f>
        <v/>
      </c>
      <c r="AD4">
        <f>HYPERLINK("https://klasma.github.io/Logging_2514/tillsynsmail/A 69012-2021 tillsynsbegäran mail.docx", "A 69012-2021")</f>
        <v/>
      </c>
      <c r="AE4">
        <f>HYPERLINK("https://klasma.github.io/Logging_2514/fåglar/A 69012-2021 prioriterade fågelarter.docx", "A 69012-2021")</f>
        <v/>
      </c>
    </row>
    <row r="5" ht="15" customHeight="1">
      <c r="A5" t="inlineStr">
        <is>
          <t>A 44336-2023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45188</v>
      </c>
      <c r="E5" s="1" t="n">
        <v>46324</v>
      </c>
      <c r="F5" t="inlineStr">
        <is>
          <t>NORRBOTTENS LÄN</t>
        </is>
      </c>
      <c r="G5" t="inlineStr">
        <is>
          <t>KALIX</t>
        </is>
      </c>
      <c r="I5" t="n">
        <v>11.2</v>
      </c>
      <c r="J5" t="n">
        <v>5</v>
      </c>
      <c r="K5" t="n">
        <v>1</v>
      </c>
      <c r="L5" t="n">
        <v>6</v>
      </c>
      <c r="M5" t="n">
        <v>2</v>
      </c>
      <c r="N5" t="n">
        <v>0</v>
      </c>
      <c r="O5" t="n">
        <v>0</v>
      </c>
      <c r="P5" t="n">
        <v>0</v>
      </c>
      <c r="Q5" t="n">
        <v>8</v>
      </c>
      <c r="R5" t="n">
        <v>2</v>
      </c>
      <c r="S5" t="n">
        <v>12</v>
      </c>
      <c r="T5" t="n">
        <v>47</v>
      </c>
      <c r="U5" t="n">
        <v>47</v>
      </c>
      <c r="V5" s="2" t="inlineStr">
        <is>
          <t>Garnlav
Lammticka
Dropptaggsvamp
Motaggsvamp
Orange taggsvamp
Stjärntagging
Svartvit taggsvamp
Talltita
Plattlummer
Spillkråka
Kråka
Revlummer</t>
        </is>
      </c>
      <c r="W5">
        <f>HYPERLINK("https://klasma.github.io/Logging_2514/artfynd/A 44336-2023 artfynd.xlsx", "A 44336-2023")</f>
        <v/>
      </c>
      <c r="X5">
        <f>HYPERLINK("https://klasma.github.io/Logging_2514/kartor/A 44336-2023 karta.png", "A 44336-2023")</f>
        <v/>
      </c>
      <c r="Y5">
        <f>HYPERLINK("https://klasma.github.io/Logging_2514/kartor_geotiff/A 44336-2023 georefererad karta.tif", "A 44336-2023")</f>
        <v/>
      </c>
      <c r="AA5">
        <f>HYPERLINK("https://klasma.github.io/Logging_2514/klagomål/A 44336-2023 FSC-klagomål.docx", "A 44336-2023")</f>
        <v/>
      </c>
      <c r="AB5">
        <f>HYPERLINK("https://klasma.github.io/Logging_2514/klagomålsmail/A 44336-2023 FSC-klagomål mail.docx", "A 44336-2023")</f>
        <v/>
      </c>
      <c r="AC5">
        <f>HYPERLINK("https://klasma.github.io/Logging_2514/tillsyn/A 44336-2023 tillsynsbegäran.docx", "A 44336-2023")</f>
        <v/>
      </c>
      <c r="AD5">
        <f>HYPERLINK("https://klasma.github.io/Logging_2514/tillsynsmail/A 44336-2023 tillsynsbegäran mail.docx", "A 44336-2023")</f>
        <v/>
      </c>
      <c r="AE5">
        <f>HYPERLINK("https://klasma.github.io/Logging_2514/fåglar/A 44336-2023 prioriterade fågelarter.docx", "A 44336-2023")</f>
        <v/>
      </c>
    </row>
    <row r="6" ht="15" customHeight="1">
      <c r="A6" t="inlineStr">
        <is>
          <t>A 48581-2025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45936</v>
      </c>
      <c r="E6" s="1" t="n">
        <v>46324</v>
      </c>
      <c r="F6" t="inlineStr">
        <is>
          <t>NORRBOTTENS LÄN</t>
        </is>
      </c>
      <c r="G6" t="inlineStr">
        <is>
          <t>KALIX</t>
        </is>
      </c>
      <c r="I6" t="n">
        <v>2.6</v>
      </c>
      <c r="J6" t="n">
        <v>1</v>
      </c>
      <c r="K6" t="n">
        <v>3</v>
      </c>
      <c r="L6" t="n">
        <v>3</v>
      </c>
      <c r="M6" t="n">
        <v>2</v>
      </c>
      <c r="N6" t="n">
        <v>0</v>
      </c>
      <c r="O6" t="n">
        <v>0</v>
      </c>
      <c r="P6" t="n">
        <v>0</v>
      </c>
      <c r="Q6" t="n">
        <v>5</v>
      </c>
      <c r="R6" t="n">
        <v>2</v>
      </c>
      <c r="S6" t="n">
        <v>9</v>
      </c>
      <c r="T6" t="n">
        <v>22</v>
      </c>
      <c r="U6" t="n">
        <v>22</v>
      </c>
      <c r="V6" s="2" t="inlineStr">
        <is>
          <t>Garnlav
Knärot
Gammelgransskål
Lunglav
Ullticka
Skinnlav
Stuplav
Vedticka
Kötticka</t>
        </is>
      </c>
      <c r="W6">
        <f>HYPERLINK("https://klasma.github.io/Logging_2514/artfynd/A 48581-2025 artfynd.xlsx", "A 48581-2025")</f>
        <v/>
      </c>
      <c r="X6">
        <f>HYPERLINK("https://klasma.github.io/Logging_2514/kartor/A 48581-2025 karta.png", "A 48581-2025")</f>
        <v/>
      </c>
      <c r="Y6">
        <f>HYPERLINK("https://klasma.github.io/Logging_2514/kartor_geotiff/A 48581-2025 georefererad karta.tif", "A 48581-2025")</f>
        <v/>
      </c>
      <c r="Z6">
        <f>HYPERLINK("https://klasma.github.io/Logging_2514/knärot/A 48581-2025 karta knärot.png", "A 48581-2025")</f>
        <v/>
      </c>
      <c r="AA6">
        <f>HYPERLINK("https://klasma.github.io/Logging_2514/klagomål/A 48581-2025 FSC-klagomål.docx", "A 48581-2025")</f>
        <v/>
      </c>
      <c r="AB6">
        <f>HYPERLINK("https://klasma.github.io/Logging_2514/klagomålsmail/A 48581-2025 FSC-klagomål mail.docx", "A 48581-2025")</f>
        <v/>
      </c>
      <c r="AC6">
        <f>HYPERLINK("https://klasma.github.io/Logging_2514/tillsyn/A 48581-2025 tillsynsbegäran.docx", "A 48581-2025")</f>
        <v/>
      </c>
      <c r="AD6">
        <f>HYPERLINK("https://klasma.github.io/Logging_2514/tillsynsmail/A 48581-2025 tillsynsbegäran mail.docx", "A 48581-2025")</f>
        <v/>
      </c>
    </row>
    <row r="7" ht="15" customHeight="1">
      <c r="A7" t="inlineStr">
        <is>
          <t>A 17665-2026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46121</v>
      </c>
      <c r="E7" s="1" t="n">
        <v>46324</v>
      </c>
      <c r="F7" t="inlineStr">
        <is>
          <t>NORRBOTTENS LÄN</t>
        </is>
      </c>
      <c r="G7" t="inlineStr">
        <is>
          <t>KALIX</t>
        </is>
      </c>
      <c r="I7" t="n">
        <v>1.5</v>
      </c>
      <c r="J7" t="n">
        <v>1</v>
      </c>
      <c r="K7" t="n">
        <v>2</v>
      </c>
      <c r="L7" t="n">
        <v>1</v>
      </c>
      <c r="M7" t="n">
        <v>2</v>
      </c>
      <c r="N7" t="n">
        <v>0</v>
      </c>
      <c r="O7" t="n">
        <v>0</v>
      </c>
      <c r="P7" t="n">
        <v>0</v>
      </c>
      <c r="Q7" t="n">
        <v>3</v>
      </c>
      <c r="R7" t="n">
        <v>2</v>
      </c>
      <c r="S7" t="n">
        <v>7</v>
      </c>
      <c r="T7" t="n">
        <v>12</v>
      </c>
      <c r="U7" t="n">
        <v>11</v>
      </c>
      <c r="V7" s="2" t="inlineStr">
        <is>
          <t>Garnlav
Knärot
Ullticka
Skinnlav
Vedticka
Kransmossa
Kötticka</t>
        </is>
      </c>
      <c r="W7">
        <f>HYPERLINK("https://klasma.github.io/Logging_2514/artfynd/A 17665-2026 artfynd.xlsx", "A 17665-2026")</f>
        <v/>
      </c>
      <c r="X7">
        <f>HYPERLINK("https://klasma.github.io/Logging_2514/kartor/A 17665-2026 karta.png", "A 17665-2026")</f>
        <v/>
      </c>
      <c r="Y7">
        <f>HYPERLINK("https://klasma.github.io/Logging_2514/kartor_geotiff/A 17665-2026 georefererad karta.tif", "A 17665-2026")</f>
        <v/>
      </c>
      <c r="Z7">
        <f>HYPERLINK("https://klasma.github.io/Logging_2514/knärot/A 17665-2026 karta knärot.png", "A 17665-2026")</f>
        <v/>
      </c>
      <c r="AA7">
        <f>HYPERLINK("https://klasma.github.io/Logging_2514/klagomål/A 17665-2026 FSC-klagomål.docx", "A 17665-2026")</f>
        <v/>
      </c>
      <c r="AB7">
        <f>HYPERLINK("https://klasma.github.io/Logging_2514/klagomålsmail/A 17665-2026 FSC-klagomål mail.docx", "A 17665-2026")</f>
        <v/>
      </c>
      <c r="AC7">
        <f>HYPERLINK("https://klasma.github.io/Logging_2514/tillsyn/A 17665-2026 tillsynsbegäran.docx", "A 17665-2026")</f>
        <v/>
      </c>
      <c r="AD7">
        <f>HYPERLINK("https://klasma.github.io/Logging_2514/tillsynsmail/A 17665-2026 tillsynsbegäran mail.docx", "A 17665-2026")</f>
        <v/>
      </c>
    </row>
    <row r="8" ht="15" customHeight="1">
      <c r="A8" t="inlineStr">
        <is>
          <t>A 43397-2026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46310</v>
      </c>
      <c r="E8" s="1" t="n">
        <v>46324</v>
      </c>
      <c r="F8" t="inlineStr">
        <is>
          <t>NORRBOTTENS LÄN</t>
        </is>
      </c>
      <c r="G8" t="inlineStr">
        <is>
          <t>KALIX</t>
        </is>
      </c>
      <c r="I8" t="n">
        <v>26.7</v>
      </c>
      <c r="J8" t="n">
        <v>1</v>
      </c>
      <c r="K8" t="n">
        <v>3</v>
      </c>
      <c r="L8" t="n">
        <v>3</v>
      </c>
      <c r="M8" t="n">
        <v>1</v>
      </c>
      <c r="N8" t="n">
        <v>0</v>
      </c>
      <c r="O8" t="n">
        <v>0</v>
      </c>
      <c r="P8" t="n">
        <v>0</v>
      </c>
      <c r="Q8" t="n">
        <v>4</v>
      </c>
      <c r="R8" t="n">
        <v>1</v>
      </c>
      <c r="S8" t="n">
        <v>7</v>
      </c>
      <c r="T8" t="n">
        <v>30</v>
      </c>
      <c r="U8" t="n">
        <v>30</v>
      </c>
      <c r="V8" s="2" t="inlineStr">
        <is>
          <t>Garnlav
Harticka
Tretåig hackspett
Vitgrynig nållav
Mörk husmossa
Stuplav
Vedticka</t>
        </is>
      </c>
      <c r="W8">
        <f>HYPERLINK("https://klasma.github.io/Logging_2514/artfynd/A 43397-2026 artfynd.xlsx", "A 43397-2026")</f>
        <v/>
      </c>
      <c r="X8">
        <f>HYPERLINK("https://klasma.github.io/Logging_2514/kartor/A 43397-2026 karta.png", "A 43397-2026")</f>
        <v/>
      </c>
      <c r="Y8">
        <f>HYPERLINK("https://klasma.github.io/Logging_2514/kartor_geotiff/A 43397-2026 georefererad karta.tif", "A 43397-2026")</f>
        <v/>
      </c>
      <c r="AA8">
        <f>HYPERLINK("https://klasma.github.io/Logging_2514/klagomål/A 43397-2026 FSC-klagomål.docx", "A 43397-2026")</f>
        <v/>
      </c>
      <c r="AB8">
        <f>HYPERLINK("https://klasma.github.io/Logging_2514/klagomålsmail/A 43397-2026 FSC-klagomål mail.docx", "A 43397-2026")</f>
        <v/>
      </c>
      <c r="AC8">
        <f>HYPERLINK("https://klasma.github.io/Logging_2514/tillsyn/A 43397-2026 tillsynsbegäran.docx", "A 43397-2026")</f>
        <v/>
      </c>
      <c r="AD8">
        <f>HYPERLINK("https://klasma.github.io/Logging_2514/tillsynsmail/A 43397-2026 tillsynsbegäran mail.docx", "A 43397-2026")</f>
        <v/>
      </c>
      <c r="AE8">
        <f>HYPERLINK("https://klasma.github.io/Logging_2514/fåglar/A 43397-2026 prioriterade fågelarter.docx", "A 43397-2026")</f>
        <v/>
      </c>
    </row>
    <row r="9" ht="15" customHeight="1">
      <c r="A9" t="inlineStr">
        <is>
          <t>A 64289-2021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44510</v>
      </c>
      <c r="E9" s="1" t="n">
        <v>46324</v>
      </c>
      <c r="F9" t="inlineStr">
        <is>
          <t>NORRBOTTENS LÄN</t>
        </is>
      </c>
      <c r="G9" t="inlineStr">
        <is>
          <t>KALIX</t>
        </is>
      </c>
      <c r="H9" t="inlineStr">
        <is>
          <t>Sveaskog</t>
        </is>
      </c>
      <c r="I9" t="n">
        <v>18.9</v>
      </c>
      <c r="J9" t="n">
        <v>4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2</v>
      </c>
      <c r="R9" t="n">
        <v>1</v>
      </c>
      <c r="S9" t="n">
        <v>5</v>
      </c>
      <c r="T9" t="n">
        <v>12</v>
      </c>
      <c r="U9" t="n">
        <v>12</v>
      </c>
      <c r="V9" s="2" t="inlineStr">
        <is>
          <t>Grönfink
Talltita
Källpraktmossa
Spillkråka
Tjäder</t>
        </is>
      </c>
      <c r="W9">
        <f>HYPERLINK("https://klasma.github.io/Logging_2514/artfynd/A 64289-2021 artfynd.xlsx", "A 64289-2021")</f>
        <v/>
      </c>
      <c r="X9">
        <f>HYPERLINK("https://klasma.github.io/Logging_2514/kartor/A 64289-2021 karta.png", "A 64289-2021")</f>
        <v/>
      </c>
      <c r="Y9">
        <f>HYPERLINK("https://klasma.github.io/Logging_2514/kartor_geotiff/A 64289-2021 georefererad karta.tif", "A 64289-2021")</f>
        <v/>
      </c>
      <c r="AA9">
        <f>HYPERLINK("https://klasma.github.io/Logging_2514/klagomål/A 64289-2021 FSC-klagomål.docx", "A 64289-2021")</f>
        <v/>
      </c>
      <c r="AB9">
        <f>HYPERLINK("https://klasma.github.io/Logging_2514/klagomålsmail/A 64289-2021 FSC-klagomål mail.docx", "A 64289-2021")</f>
        <v/>
      </c>
      <c r="AC9">
        <f>HYPERLINK("https://klasma.github.io/Logging_2514/tillsyn/A 64289-2021 tillsynsbegäran.docx", "A 64289-2021")</f>
        <v/>
      </c>
      <c r="AD9">
        <f>HYPERLINK("https://klasma.github.io/Logging_2514/tillsynsmail/A 64289-2021 tillsynsbegäran mail.docx", "A 64289-2021")</f>
        <v/>
      </c>
      <c r="AE9">
        <f>HYPERLINK("https://klasma.github.io/Logging_2514/fåglar/A 64289-2021 prioriterade fågelarter.docx", "A 64289-2021")</f>
        <v/>
      </c>
    </row>
    <row r="10" ht="15" customHeight="1">
      <c r="A10" t="inlineStr">
        <is>
          <t>A 15427-2026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46106</v>
      </c>
      <c r="E10" s="1" t="n">
        <v>46324</v>
      </c>
      <c r="F10" t="inlineStr">
        <is>
          <t>NORRBOTTENS LÄN</t>
        </is>
      </c>
      <c r="G10" t="inlineStr">
        <is>
          <t>KALIX</t>
        </is>
      </c>
      <c r="H10" t="inlineStr">
        <is>
          <t>SCA</t>
        </is>
      </c>
      <c r="I10" t="n">
        <v>26.7</v>
      </c>
      <c r="J10" t="n">
        <v>2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</v>
      </c>
      <c r="T10" t="n">
        <v>5</v>
      </c>
      <c r="U10" t="n">
        <v>0</v>
      </c>
      <c r="V10" s="2" t="inlineStr">
        <is>
          <t>Björksplintborre
Bronshjon
Vågbandad barkbock
Spillkråka
Revlummer</t>
        </is>
      </c>
      <c r="W10">
        <f>HYPERLINK("https://klasma.github.io/Logging_2514/artfynd/A 15427-2026 artfynd.xlsx", "A 15427-2026")</f>
        <v/>
      </c>
      <c r="X10">
        <f>HYPERLINK("https://klasma.github.io/Logging_2514/kartor/A 15427-2026 karta.png", "A 15427-2026")</f>
        <v/>
      </c>
      <c r="Y10">
        <f>HYPERLINK("https://klasma.github.io/Logging_2514/kartor_geotiff/A 15427-2026 georefererad karta.tif", "A 15427-2026")</f>
        <v/>
      </c>
      <c r="AA10">
        <f>HYPERLINK("https://klasma.github.io/Logging_2514/klagomål/A 15427-2026 FSC-klagomål.docx", "A 15427-2026")</f>
        <v/>
      </c>
      <c r="AB10">
        <f>HYPERLINK("https://klasma.github.io/Logging_2514/klagomålsmail/A 15427-2026 FSC-klagomål mail.docx", "A 15427-2026")</f>
        <v/>
      </c>
      <c r="AC10">
        <f>HYPERLINK("https://klasma.github.io/Logging_2514/tillsyn/A 15427-2026 tillsynsbegäran.docx", "A 15427-2026")</f>
        <v/>
      </c>
      <c r="AD10">
        <f>HYPERLINK("https://klasma.github.io/Logging_2514/tillsynsmail/A 15427-2026 tillsynsbegäran mail.docx", "A 15427-2026")</f>
        <v/>
      </c>
      <c r="AE10">
        <f>HYPERLINK("https://klasma.github.io/Logging_2514/fåglar/A 15427-2026 prioriterade fågelarter.docx", "A 15427-2026")</f>
        <v/>
      </c>
    </row>
    <row r="11" ht="15" customHeight="1">
      <c r="A11" t="inlineStr">
        <is>
          <t>A 17614-2026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46121</v>
      </c>
      <c r="E11" s="1" t="n">
        <v>46324</v>
      </c>
      <c r="F11" t="inlineStr">
        <is>
          <t>NORRBOTTENS LÄN</t>
        </is>
      </c>
      <c r="G11" t="inlineStr">
        <is>
          <t>KALIX</t>
        </is>
      </c>
      <c r="I11" t="n">
        <v>2.1</v>
      </c>
      <c r="J11" t="n">
        <v>1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2</v>
      </c>
      <c r="R11" t="n">
        <v>1</v>
      </c>
      <c r="S11" t="n">
        <v>5</v>
      </c>
      <c r="T11" t="n">
        <v>24</v>
      </c>
      <c r="U11" t="n">
        <v>24</v>
      </c>
      <c r="V11" s="2" t="inlineStr">
        <is>
          <t>Garnlav
Gammelgransskål
Skinnlav
Vedticka
Spillkråka</t>
        </is>
      </c>
      <c r="W11">
        <f>HYPERLINK("https://klasma.github.io/Logging_2514/artfynd/A 17614-2026 artfynd.xlsx", "A 17614-2026")</f>
        <v/>
      </c>
      <c r="X11">
        <f>HYPERLINK("https://klasma.github.io/Logging_2514/kartor/A 17614-2026 karta.png", "A 17614-2026")</f>
        <v/>
      </c>
      <c r="Y11">
        <f>HYPERLINK("https://klasma.github.io/Logging_2514/kartor_geotiff/A 17614-2026 georefererad karta.tif", "A 17614-2026")</f>
        <v/>
      </c>
      <c r="AA11">
        <f>HYPERLINK("https://klasma.github.io/Logging_2514/klagomål/A 17614-2026 FSC-klagomål.docx", "A 17614-2026")</f>
        <v/>
      </c>
      <c r="AB11">
        <f>HYPERLINK("https://klasma.github.io/Logging_2514/klagomålsmail/A 17614-2026 FSC-klagomål mail.docx", "A 17614-2026")</f>
        <v/>
      </c>
      <c r="AC11">
        <f>HYPERLINK("https://klasma.github.io/Logging_2514/tillsyn/A 17614-2026 tillsynsbegäran.docx", "A 17614-2026")</f>
        <v/>
      </c>
      <c r="AD11">
        <f>HYPERLINK("https://klasma.github.io/Logging_2514/tillsynsmail/A 17614-2026 tillsynsbegäran mail.docx", "A 17614-2026")</f>
        <v/>
      </c>
      <c r="AE11">
        <f>HYPERLINK("https://klasma.github.io/Logging_2514/fåglar/A 17614-2026 prioriterade fågelarter.docx", "A 17614-2026")</f>
        <v/>
      </c>
    </row>
    <row r="12" ht="15" customHeight="1">
      <c r="A12" t="inlineStr">
        <is>
          <t>A 43147-2026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46311</v>
      </c>
      <c r="E12" s="1" t="n">
        <v>46324</v>
      </c>
      <c r="F12" t="inlineStr">
        <is>
          <t>NORRBOTTENS LÄN</t>
        </is>
      </c>
      <c r="G12" t="inlineStr">
        <is>
          <t>KALIX</t>
        </is>
      </c>
      <c r="I12" t="n">
        <v>13.1</v>
      </c>
      <c r="J12" t="n">
        <v>0</v>
      </c>
      <c r="K12" t="n">
        <v>0</v>
      </c>
      <c r="L12" t="n">
        <v>2</v>
      </c>
      <c r="M12" t="n">
        <v>3</v>
      </c>
      <c r="N12" t="n">
        <v>0</v>
      </c>
      <c r="O12" t="n">
        <v>0</v>
      </c>
      <c r="P12" t="n">
        <v>0</v>
      </c>
      <c r="Q12" t="n">
        <v>5</v>
      </c>
      <c r="R12" t="n">
        <v>3</v>
      </c>
      <c r="S12" t="n">
        <v>5</v>
      </c>
      <c r="T12" t="n">
        <v>14</v>
      </c>
      <c r="U12" t="n">
        <v>0</v>
      </c>
      <c r="V12" s="2" t="inlineStr">
        <is>
          <t>Lakritsmusseron
Skrovlig taggsvamp
Tallgråticka
Blå taggsvamp
Talltaggsvamp</t>
        </is>
      </c>
      <c r="W12">
        <f>HYPERLINK("https://klasma.github.io/Logging_2514/artfynd/A 43147-2026 artfynd.xlsx", "A 43147-2026")</f>
        <v/>
      </c>
      <c r="X12">
        <f>HYPERLINK("https://klasma.github.io/Logging_2514/kartor/A 43147-2026 karta.png", "A 43147-2026")</f>
        <v/>
      </c>
      <c r="Y12">
        <f>HYPERLINK("https://klasma.github.io/Logging_2514/kartor_geotiff/A 43147-2026 georefererad karta.tif", "A 43147-2026")</f>
        <v/>
      </c>
      <c r="AA12">
        <f>HYPERLINK("https://klasma.github.io/Logging_2514/klagomål/A 43147-2026 FSC-klagomål.docx", "A 43147-2026")</f>
        <v/>
      </c>
      <c r="AB12">
        <f>HYPERLINK("https://klasma.github.io/Logging_2514/klagomålsmail/A 43147-2026 FSC-klagomål mail.docx", "A 43147-2026")</f>
        <v/>
      </c>
      <c r="AC12">
        <f>HYPERLINK("https://klasma.github.io/Logging_2514/tillsyn/A 43147-2026 tillsynsbegäran.docx", "A 43147-2026")</f>
        <v/>
      </c>
      <c r="AD12">
        <f>HYPERLINK("https://klasma.github.io/Logging_2514/tillsynsmail/A 43147-2026 tillsynsbegäran mail.docx", "A 43147-2026")</f>
        <v/>
      </c>
    </row>
    <row r="13" ht="15" customHeight="1">
      <c r="A13" t="inlineStr">
        <is>
          <t>S 113-2023</t>
        </is>
      </c>
      <c r="B13" t="inlineStr">
        <is>
          <t>samrådsanmälan</t>
        </is>
      </c>
      <c r="C13" t="inlineStr">
        <is>
          <t>Skogsgödsling</t>
        </is>
      </c>
      <c r="D13" s="1" t="n">
        <v>44936</v>
      </c>
      <c r="E13" s="1" t="n">
        <v>46324</v>
      </c>
      <c r="F13" t="inlineStr">
        <is>
          <t>NORRBOTTENS LÄN</t>
        </is>
      </c>
      <c r="G13" t="inlineStr">
        <is>
          <t>KALIX</t>
        </is>
      </c>
      <c r="H13" t="inlineStr">
        <is>
          <t>SCA</t>
        </is>
      </c>
      <c r="I13" t="n">
        <v>536</v>
      </c>
      <c r="J13" t="n">
        <v>4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5</v>
      </c>
      <c r="T13" t="n">
        <v>8</v>
      </c>
      <c r="U13" t="n">
        <v>5</v>
      </c>
      <c r="V13" s="2" t="inlineStr">
        <is>
          <t>Nordfladdermus
Plattlummer
Sälg
Tjäder
Vattenfladdermus</t>
        </is>
      </c>
      <c r="W13">
        <f>HYPERLINK("https://klasma.github.io/Logging_2514/artfynd/S 113-2023 artfynd.xlsx", "S 113-2023")</f>
        <v/>
      </c>
      <c r="X13">
        <f>HYPERLINK("https://klasma.github.io/Logging_2514/kartor/S 113-2023 karta.png", "S 113-2023")</f>
        <v/>
      </c>
      <c r="Y13">
        <f>HYPERLINK("https://klasma.github.io/Logging_2514/kartor_geotiff/S 113-2023 georefererad karta.tif", "S 113-2023")</f>
        <v/>
      </c>
      <c r="Z13">
        <f>HYPERLINK("https://klasma.github.io/Logging_2514/knärot/S 113-2023 karta knärot.png", "S 113-2023")</f>
        <v/>
      </c>
      <c r="AA13">
        <f>HYPERLINK("https://klasma.github.io/Logging_2514/klagomål/S 113-2023 FSC-klagomål.docx", "S 113-2023")</f>
        <v/>
      </c>
      <c r="AB13">
        <f>HYPERLINK("https://klasma.github.io/Logging_2514/klagomålsmail/S 113-2023 FSC-klagomål mail.docx", "S 113-2023")</f>
        <v/>
      </c>
      <c r="AC13">
        <f>HYPERLINK("https://klasma.github.io/Logging_2514/tillsyn/S 113-2023 tillsynsbegäran.docx", "S 113-2023")</f>
        <v/>
      </c>
      <c r="AD13">
        <f>HYPERLINK("https://klasma.github.io/Logging_2514/tillsynsmail/S 113-2023 tillsynsbegäran mail.docx", "S 113-2023")</f>
        <v/>
      </c>
      <c r="AE13">
        <f>HYPERLINK("https://klasma.github.io/Logging_2514/fåglar/S 113-2023 prioriterade fågelarter.docx", "S 113-2023")</f>
        <v/>
      </c>
    </row>
    <row r="14" ht="15" customHeight="1">
      <c r="A14" t="inlineStr">
        <is>
          <t>A 54332-2024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45617</v>
      </c>
      <c r="E14" s="1" t="n">
        <v>46324</v>
      </c>
      <c r="F14" t="inlineStr">
        <is>
          <t>NORRBOTTENS LÄN</t>
        </is>
      </c>
      <c r="G14" t="inlineStr">
        <is>
          <t>KALIX</t>
        </is>
      </c>
      <c r="H14" t="inlineStr">
        <is>
          <t>Sveaskog</t>
        </is>
      </c>
      <c r="I14" t="n">
        <v>10.3</v>
      </c>
      <c r="J14" t="n">
        <v>0</v>
      </c>
      <c r="K14" t="n">
        <v>0</v>
      </c>
      <c r="L14" t="n">
        <v>1</v>
      </c>
      <c r="M14" t="n">
        <v>2</v>
      </c>
      <c r="N14" t="n">
        <v>0</v>
      </c>
      <c r="O14" t="n">
        <v>0</v>
      </c>
      <c r="P14" t="n">
        <v>0</v>
      </c>
      <c r="Q14" t="n">
        <v>3</v>
      </c>
      <c r="R14" t="n">
        <v>2</v>
      </c>
      <c r="S14" t="n">
        <v>3</v>
      </c>
      <c r="T14" t="n">
        <v>5</v>
      </c>
      <c r="U14" t="n">
        <v>0</v>
      </c>
      <c r="V14" s="2" t="inlineStr">
        <is>
          <t>Garnlav
Skrovlig taggsvamp
Gammelgransskål</t>
        </is>
      </c>
      <c r="W14">
        <f>HYPERLINK("https://klasma.github.io/Logging_2514/artfynd/A 54332-2024 artfynd.xlsx", "A 54332-2024")</f>
        <v/>
      </c>
      <c r="X14">
        <f>HYPERLINK("https://klasma.github.io/Logging_2514/kartor/A 54332-2024 karta.png", "A 54332-2024")</f>
        <v/>
      </c>
      <c r="Y14">
        <f>HYPERLINK("https://klasma.github.io/Logging_2514/kartor_geotiff/A 54332-2024 georefererad karta.tif", "A 54332-2024")</f>
        <v/>
      </c>
      <c r="AA14">
        <f>HYPERLINK("https://klasma.github.io/Logging_2514/klagomål/A 54332-2024 FSC-klagomål.docx", "A 54332-2024")</f>
        <v/>
      </c>
      <c r="AB14">
        <f>HYPERLINK("https://klasma.github.io/Logging_2514/klagomålsmail/A 54332-2024 FSC-klagomål mail.docx", "A 54332-2024")</f>
        <v/>
      </c>
      <c r="AC14">
        <f>HYPERLINK("https://klasma.github.io/Logging_2514/tillsyn/A 54332-2024 tillsynsbegäran.docx", "A 54332-2024")</f>
        <v/>
      </c>
      <c r="AD14">
        <f>HYPERLINK("https://klasma.github.io/Logging_2514/tillsynsmail/A 54332-2024 tillsynsbegäran mail.docx", "A 54332-2024")</f>
        <v/>
      </c>
    </row>
    <row r="15" ht="15" customHeight="1">
      <c r="A15" t="inlineStr">
        <is>
          <t>A 42826-2024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45566</v>
      </c>
      <c r="E15" s="1" t="n">
        <v>46324</v>
      </c>
      <c r="F15" t="inlineStr">
        <is>
          <t>NORRBOTTENS LÄN</t>
        </is>
      </c>
      <c r="G15" t="inlineStr">
        <is>
          <t>KALIX</t>
        </is>
      </c>
      <c r="I15" t="n">
        <v>4.5</v>
      </c>
      <c r="J15" t="n">
        <v>0</v>
      </c>
      <c r="K15" t="n">
        <v>0</v>
      </c>
      <c r="L15" t="n">
        <v>2</v>
      </c>
      <c r="M15" t="n">
        <v>0</v>
      </c>
      <c r="N15" t="n">
        <v>1</v>
      </c>
      <c r="O15" t="n">
        <v>0</v>
      </c>
      <c r="P15" t="n">
        <v>0</v>
      </c>
      <c r="Q15" t="n">
        <v>3</v>
      </c>
      <c r="R15" t="n">
        <v>1</v>
      </c>
      <c r="S15" t="n">
        <v>3</v>
      </c>
      <c r="T15" t="n">
        <v>3</v>
      </c>
      <c r="U15" t="n">
        <v>0</v>
      </c>
      <c r="V15" s="2" t="inlineStr">
        <is>
          <t>Bitter taggsvamp
Grantaggsvamp
Svartvit taggsvamp</t>
        </is>
      </c>
      <c r="W15">
        <f>HYPERLINK("https://klasma.github.io/Logging_2514/artfynd/A 42826-2024 artfynd.xlsx", "A 42826-2024")</f>
        <v/>
      </c>
      <c r="X15">
        <f>HYPERLINK("https://klasma.github.io/Logging_2514/kartor/A 42826-2024 karta.png", "A 42826-2024")</f>
        <v/>
      </c>
      <c r="Y15">
        <f>HYPERLINK("https://klasma.github.io/Logging_2514/kartor_geotiff/A 42826-2024 georefererad karta.tif", "A 42826-2024")</f>
        <v/>
      </c>
      <c r="AA15">
        <f>HYPERLINK("https://klasma.github.io/Logging_2514/klagomål/A 42826-2024 FSC-klagomål.docx", "A 42826-2024")</f>
        <v/>
      </c>
      <c r="AB15">
        <f>HYPERLINK("https://klasma.github.io/Logging_2514/klagomålsmail/A 42826-2024 FSC-klagomål mail.docx", "A 42826-2024")</f>
        <v/>
      </c>
      <c r="AC15">
        <f>HYPERLINK("https://klasma.github.io/Logging_2514/tillsyn/A 42826-2024 tillsynsbegäran.docx", "A 42826-2024")</f>
        <v/>
      </c>
      <c r="AD15">
        <f>HYPERLINK("https://klasma.github.io/Logging_2514/tillsynsmail/A 42826-2024 tillsynsbegäran mail.docx", "A 42826-2024")</f>
        <v/>
      </c>
    </row>
    <row r="16" ht="15" customHeight="1">
      <c r="A16" t="inlineStr">
        <is>
          <t>A 31893-2026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46231</v>
      </c>
      <c r="E16" s="1" t="n">
        <v>46324</v>
      </c>
      <c r="F16" t="inlineStr">
        <is>
          <t>NORRBOTTENS LÄN</t>
        </is>
      </c>
      <c r="G16" t="inlineStr">
        <is>
          <t>KALIX</t>
        </is>
      </c>
      <c r="I16" t="n">
        <v>15.1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3</v>
      </c>
      <c r="U16" t="n">
        <v>0</v>
      </c>
      <c r="V16" s="2" t="inlineStr">
        <is>
          <t>Spindelblomster
Ögonpyrola
Fläcknycklar</t>
        </is>
      </c>
      <c r="W16">
        <f>HYPERLINK("https://klasma.github.io/Logging_2514/artfynd/A 31893-2026 artfynd.xlsx", "A 31893-2026")</f>
        <v/>
      </c>
      <c r="X16">
        <f>HYPERLINK("https://klasma.github.io/Logging_2514/kartor/A 31893-2026 karta.png", "A 31893-2026")</f>
        <v/>
      </c>
      <c r="Y16">
        <f>HYPERLINK("https://klasma.github.io/Logging_2514/kartor_geotiff/A 31893-2026 georefererad karta.tif", "A 31893-2026")</f>
        <v/>
      </c>
      <c r="AA16">
        <f>HYPERLINK("https://klasma.github.io/Logging_2514/klagomål/A 31893-2026 FSC-klagomål.docx", "A 31893-2026")</f>
        <v/>
      </c>
      <c r="AB16">
        <f>HYPERLINK("https://klasma.github.io/Logging_2514/klagomålsmail/A 31893-2026 FSC-klagomål mail.docx", "A 31893-2026")</f>
        <v/>
      </c>
      <c r="AC16">
        <f>HYPERLINK("https://klasma.github.io/Logging_2514/tillsyn/A 31893-2026 tillsynsbegäran.docx", "A 31893-2026")</f>
        <v/>
      </c>
      <c r="AD16">
        <f>HYPERLINK("https://klasma.github.io/Logging_2514/tillsynsmail/A 31893-2026 tillsynsbegäran mail.docx", "A 31893-2026")</f>
        <v/>
      </c>
    </row>
    <row r="17" ht="15" customHeight="1">
      <c r="A17" t="inlineStr">
        <is>
          <t>A 62537-2023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45268</v>
      </c>
      <c r="E17" s="1" t="n">
        <v>46324</v>
      </c>
      <c r="F17" t="inlineStr">
        <is>
          <t>NORRBOTTENS LÄN</t>
        </is>
      </c>
      <c r="G17" t="inlineStr">
        <is>
          <t>KALIX</t>
        </is>
      </c>
      <c r="I17" t="n">
        <v>6.9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  <c r="V17" s="2" t="inlineStr">
        <is>
          <t>Tibast
Äkta lopplummer</t>
        </is>
      </c>
      <c r="W17">
        <f>HYPERLINK("https://klasma.github.io/Logging_2514/artfynd/A 62537-2023 artfynd.xlsx", "A 62537-2023")</f>
        <v/>
      </c>
      <c r="X17">
        <f>HYPERLINK("https://klasma.github.io/Logging_2514/kartor/A 62537-2023 karta.png", "A 62537-2023")</f>
        <v/>
      </c>
      <c r="Y17">
        <f>HYPERLINK("https://klasma.github.io/Logging_2514/kartor_geotiff/A 62537-2023 georefererad karta.tif", "A 62537-2023")</f>
        <v/>
      </c>
      <c r="AA17">
        <f>HYPERLINK("https://klasma.github.io/Logging_2514/klagomål/A 62537-2023 FSC-klagomål.docx", "A 62537-2023")</f>
        <v/>
      </c>
      <c r="AB17">
        <f>HYPERLINK("https://klasma.github.io/Logging_2514/klagomålsmail/A 62537-2023 FSC-klagomål mail.docx", "A 62537-2023")</f>
        <v/>
      </c>
      <c r="AC17">
        <f>HYPERLINK("https://klasma.github.io/Logging_2514/tillsyn/A 62537-2023 tillsynsbegäran.docx", "A 62537-2023")</f>
        <v/>
      </c>
      <c r="AD17">
        <f>HYPERLINK("https://klasma.github.io/Logging_2514/tillsynsmail/A 62537-2023 tillsynsbegäran mail.docx", "A 62537-2023")</f>
        <v/>
      </c>
    </row>
    <row r="18" ht="15" customHeight="1">
      <c r="A18" t="inlineStr">
        <is>
          <t>A 29564-2026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46204</v>
      </c>
      <c r="E18" s="1" t="n">
        <v>46324</v>
      </c>
      <c r="F18" t="inlineStr">
        <is>
          <t>NORRBOTTENS LÄN</t>
        </is>
      </c>
      <c r="G18" t="inlineStr">
        <is>
          <t>KALIX</t>
        </is>
      </c>
      <c r="H18" t="inlineStr">
        <is>
          <t>SCA</t>
        </is>
      </c>
      <c r="I18" t="n">
        <v>1.1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2</v>
      </c>
      <c r="T18" t="n">
        <v>2</v>
      </c>
      <c r="U18" t="n">
        <v>0</v>
      </c>
      <c r="V18" s="2" t="inlineStr">
        <is>
          <t>Fläckporing
Rävticka</t>
        </is>
      </c>
      <c r="W18">
        <f>HYPERLINK("https://klasma.github.io/Logging_2514/artfynd/A 29564-2026 artfynd.xlsx", "A 29564-2026")</f>
        <v/>
      </c>
      <c r="X18">
        <f>HYPERLINK("https://klasma.github.io/Logging_2514/kartor/A 29564-2026 karta.png", "A 29564-2026")</f>
        <v/>
      </c>
      <c r="Y18">
        <f>HYPERLINK("https://klasma.github.io/Logging_2514/kartor_geotiff/A 29564-2026 georefererad karta.tif", "A 29564-2026")</f>
        <v/>
      </c>
      <c r="AA18">
        <f>HYPERLINK("https://klasma.github.io/Logging_2514/klagomål/A 29564-2026 FSC-klagomål.docx", "A 29564-2026")</f>
        <v/>
      </c>
      <c r="AB18">
        <f>HYPERLINK("https://klasma.github.io/Logging_2514/klagomålsmail/A 29564-2026 FSC-klagomål mail.docx", "A 29564-2026")</f>
        <v/>
      </c>
      <c r="AC18">
        <f>HYPERLINK("https://klasma.github.io/Logging_2514/tillsyn/A 29564-2026 tillsynsbegäran.docx", "A 29564-2026")</f>
        <v/>
      </c>
      <c r="AD18">
        <f>HYPERLINK("https://klasma.github.io/Logging_2514/tillsynsmail/A 29564-2026 tillsynsbegäran mail.docx", "A 29564-2026")</f>
        <v/>
      </c>
    </row>
    <row r="19" ht="15" customHeight="1">
      <c r="A19" t="inlineStr">
        <is>
          <t>A 31974-2026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46232</v>
      </c>
      <c r="E19" s="1" t="n">
        <v>46324</v>
      </c>
      <c r="F19" t="inlineStr">
        <is>
          <t>NORRBOTTENS LÄN</t>
        </is>
      </c>
      <c r="G19" t="inlineStr">
        <is>
          <t>KALIX</t>
        </is>
      </c>
      <c r="H19" t="inlineStr">
        <is>
          <t>Kommuner</t>
        </is>
      </c>
      <c r="I19" t="n">
        <v>6.6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2</v>
      </c>
      <c r="U19" t="n">
        <v>0</v>
      </c>
      <c r="V19" s="2" t="inlineStr">
        <is>
          <t>Brudborste
Sälg</t>
        </is>
      </c>
      <c r="W19">
        <f>HYPERLINK("https://klasma.github.io/Logging_2514/artfynd/A 31974-2026 artfynd.xlsx", "A 31974-2026")</f>
        <v/>
      </c>
      <c r="X19">
        <f>HYPERLINK("https://klasma.github.io/Logging_2514/kartor/A 31974-2026 karta.png", "A 31974-2026")</f>
        <v/>
      </c>
      <c r="Y19">
        <f>HYPERLINK("https://klasma.github.io/Logging_2514/kartor_geotiff/A 31974-2026 georefererad karta.tif", "A 31974-2026")</f>
        <v/>
      </c>
      <c r="AA19">
        <f>HYPERLINK("https://klasma.github.io/Logging_2514/klagomål/A 31974-2026 FSC-klagomål.docx", "A 31974-2026")</f>
        <v/>
      </c>
      <c r="AB19">
        <f>HYPERLINK("https://klasma.github.io/Logging_2514/klagomålsmail/A 31974-2026 FSC-klagomål mail.docx", "A 31974-2026")</f>
        <v/>
      </c>
      <c r="AC19">
        <f>HYPERLINK("https://klasma.github.io/Logging_2514/tillsyn/A 31974-2026 tillsynsbegäran.docx", "A 31974-2026")</f>
        <v/>
      </c>
      <c r="AD19">
        <f>HYPERLINK("https://klasma.github.io/Logging_2514/tillsynsmail/A 31974-2026 tillsynsbegäran mail.docx", "A 31974-2026")</f>
        <v/>
      </c>
    </row>
    <row r="20" ht="15" customHeight="1">
      <c r="A20" t="inlineStr">
        <is>
          <t>A 23342-2025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45791</v>
      </c>
      <c r="E20" s="1" t="n">
        <v>46324</v>
      </c>
      <c r="F20" t="inlineStr">
        <is>
          <t>NORRBOTTENS LÄN</t>
        </is>
      </c>
      <c r="G20" t="inlineStr">
        <is>
          <t>KALIX</t>
        </is>
      </c>
      <c r="H20" t="inlineStr">
        <is>
          <t>SCA</t>
        </is>
      </c>
      <c r="I20" t="n">
        <v>7.3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2</v>
      </c>
      <c r="T20" t="n">
        <v>2</v>
      </c>
      <c r="U20" t="n">
        <v>2</v>
      </c>
      <c r="V20" s="2" t="inlineStr">
        <is>
          <t>Garnlav
Grönpyrola</t>
        </is>
      </c>
      <c r="W20">
        <f>HYPERLINK("https://klasma.github.io/Logging_2514/artfynd/A 23342-2025 artfynd.xlsx", "A 23342-2025")</f>
        <v/>
      </c>
      <c r="X20">
        <f>HYPERLINK("https://klasma.github.io/Logging_2514/kartor/A 23342-2025 karta.png", "A 23342-2025")</f>
        <v/>
      </c>
      <c r="Y20">
        <f>HYPERLINK("https://klasma.github.io/Logging_2514/kartor_geotiff/A 23342-2025 georefererad karta.tif", "A 23342-2025")</f>
        <v/>
      </c>
      <c r="Z20">
        <f>HYPERLINK("https://klasma.github.io/Logging_2514/knärot/A 23342-2025 karta knärot.png", "A 23342-2025")</f>
        <v/>
      </c>
      <c r="AA20">
        <f>HYPERLINK("https://klasma.github.io/Logging_2514/klagomål/A 23342-2025 FSC-klagomål.docx", "A 23342-2025")</f>
        <v/>
      </c>
      <c r="AB20">
        <f>HYPERLINK("https://klasma.github.io/Logging_2514/klagomålsmail/A 23342-2025 FSC-klagomål mail.docx", "A 23342-2025")</f>
        <v/>
      </c>
      <c r="AC20">
        <f>HYPERLINK("https://klasma.github.io/Logging_2514/tillsyn/A 23342-2025 tillsynsbegäran.docx", "A 23342-2025")</f>
        <v/>
      </c>
      <c r="AD20">
        <f>HYPERLINK("https://klasma.github.io/Logging_2514/tillsynsmail/A 23342-2025 tillsynsbegäran mail.docx", "A 23342-2025")</f>
        <v/>
      </c>
    </row>
    <row r="21" ht="15" customHeight="1">
      <c r="A21" t="inlineStr">
        <is>
          <t>A 24923-2022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44728</v>
      </c>
      <c r="E21" s="1" t="n">
        <v>46324</v>
      </c>
      <c r="F21" t="inlineStr">
        <is>
          <t>NORRBOTTENS LÄN</t>
        </is>
      </c>
      <c r="G21" t="inlineStr">
        <is>
          <t>KALIX</t>
        </is>
      </c>
      <c r="H21" t="inlineStr">
        <is>
          <t>Sveaskog</t>
        </is>
      </c>
      <c r="I21" t="n">
        <v>2.9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1</v>
      </c>
      <c r="S21" t="n">
        <v>2</v>
      </c>
      <c r="T21" t="n">
        <v>2</v>
      </c>
      <c r="U21" t="n">
        <v>2</v>
      </c>
      <c r="V21" s="2" t="inlineStr">
        <is>
          <t>Garnlav
Gammelgransskål</t>
        </is>
      </c>
      <c r="W21">
        <f>HYPERLINK("https://klasma.github.io/Logging_2514/artfynd/A 24923-2022 artfynd.xlsx", "A 24923-2022")</f>
        <v/>
      </c>
      <c r="X21">
        <f>HYPERLINK("https://klasma.github.io/Logging_2514/kartor/A 24923-2022 karta.png", "A 24923-2022")</f>
        <v/>
      </c>
      <c r="Y21">
        <f>HYPERLINK("https://klasma.github.io/Logging_2514/kartor_geotiff/A 24923-2022 georefererad karta.tif", "A 24923-2022")</f>
        <v/>
      </c>
      <c r="AA21">
        <f>HYPERLINK("https://klasma.github.io/Logging_2514/klagomål/A 24923-2022 FSC-klagomål.docx", "A 24923-2022")</f>
        <v/>
      </c>
      <c r="AB21">
        <f>HYPERLINK("https://klasma.github.io/Logging_2514/klagomålsmail/A 24923-2022 FSC-klagomål mail.docx", "A 24923-2022")</f>
        <v/>
      </c>
      <c r="AC21">
        <f>HYPERLINK("https://klasma.github.io/Logging_2514/tillsyn/A 24923-2022 tillsynsbegäran.docx", "A 24923-2022")</f>
        <v/>
      </c>
      <c r="AD21">
        <f>HYPERLINK("https://klasma.github.io/Logging_2514/tillsynsmail/A 24923-2022 tillsynsbegäran mail.docx", "A 24923-2022")</f>
        <v/>
      </c>
    </row>
    <row r="22" ht="15" customHeight="1">
      <c r="A22" t="inlineStr">
        <is>
          <t>S 188-2023</t>
        </is>
      </c>
      <c r="B22" t="inlineStr">
        <is>
          <t>samrådsanmälan</t>
        </is>
      </c>
      <c r="C22" t="inlineStr">
        <is>
          <t>Skogsgödsling</t>
        </is>
      </c>
      <c r="D22" s="1" t="n">
        <v>44944</v>
      </c>
      <c r="E22" s="1" t="n">
        <v>46324</v>
      </c>
      <c r="F22" t="inlineStr">
        <is>
          <t>NORRBOTTENS LÄN</t>
        </is>
      </c>
      <c r="G22" t="inlineStr">
        <is>
          <t>KALIX</t>
        </is>
      </c>
      <c r="H22" t="inlineStr">
        <is>
          <t>SCA</t>
        </is>
      </c>
      <c r="I22" t="n">
        <v>340.7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2</v>
      </c>
      <c r="U22" t="n">
        <v>2</v>
      </c>
      <c r="V22" s="2" t="inlineStr">
        <is>
          <t>Repestarr
Revlummer</t>
        </is>
      </c>
      <c r="W22">
        <f>HYPERLINK("https://klasma.github.io/Logging_2514/artfynd/S 188-2023 artfynd.xlsx", "S 188-2023")</f>
        <v/>
      </c>
      <c r="X22">
        <f>HYPERLINK("https://klasma.github.io/Logging_2514/kartor/S 188-2023 karta.png", "S 188-2023")</f>
        <v/>
      </c>
      <c r="Y22">
        <f>HYPERLINK("https://klasma.github.io/Logging_2514/kartor_geotiff/S 188-2023 georefererad karta.tif", "S 188-2023")</f>
        <v/>
      </c>
      <c r="AA22">
        <f>HYPERLINK("https://klasma.github.io/Logging_2514/klagomål/S 188-2023 FSC-klagomål.docx", "S 188-2023")</f>
        <v/>
      </c>
      <c r="AB22">
        <f>HYPERLINK("https://klasma.github.io/Logging_2514/klagomålsmail/S 188-2023 FSC-klagomål mail.docx", "S 188-2023")</f>
        <v/>
      </c>
      <c r="AC22">
        <f>HYPERLINK("https://klasma.github.io/Logging_2514/tillsyn/S 188-2023 tillsynsbegäran.docx", "S 188-2023")</f>
        <v/>
      </c>
      <c r="AD22">
        <f>HYPERLINK("https://klasma.github.io/Logging_2514/tillsynsmail/S 188-2023 tillsynsbegäran mail.docx", "S 188-2023")</f>
        <v/>
      </c>
    </row>
    <row r="23" ht="15" customHeight="1">
      <c r="A23" t="inlineStr">
        <is>
          <t>S 657-2025</t>
        </is>
      </c>
      <c r="B23" t="inlineStr">
        <is>
          <t>samrådsanmälan</t>
        </is>
      </c>
      <c r="C23" t="inlineStr">
        <is>
          <t>Annan skogsbruksåtgärd</t>
        </is>
      </c>
      <c r="D23" s="1" t="n">
        <v>45715</v>
      </c>
      <c r="E23" s="1" t="n">
        <v>46324</v>
      </c>
      <c r="F23" t="inlineStr">
        <is>
          <t>NORRBOTTENS LÄN</t>
        </is>
      </c>
      <c r="G23" t="inlineStr">
        <is>
          <t>KALIX</t>
        </is>
      </c>
      <c r="H23" t="inlineStr">
        <is>
          <t>Sveaskog</t>
        </is>
      </c>
      <c r="I23" t="n">
        <v>8.9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1</v>
      </c>
      <c r="S23" t="n">
        <v>2</v>
      </c>
      <c r="T23" t="n">
        <v>2</v>
      </c>
      <c r="U23" t="n">
        <v>0</v>
      </c>
      <c r="V23" s="2" t="inlineStr">
        <is>
          <t>Fläckporing
Tallticka</t>
        </is>
      </c>
      <c r="W23">
        <f>HYPERLINK("https://klasma.github.io/Logging_2514/artfynd/S 657-2025 artfynd.xlsx", "S 657-2025")</f>
        <v/>
      </c>
      <c r="X23">
        <f>HYPERLINK("https://klasma.github.io/Logging_2514/kartor/S 657-2025 karta.png", "S 657-2025")</f>
        <v/>
      </c>
      <c r="Y23">
        <f>HYPERLINK("https://klasma.github.io/Logging_2514/kartor_geotiff/S 657-2025 georefererad karta.tif", "S 657-2025")</f>
        <v/>
      </c>
      <c r="AA23">
        <f>HYPERLINK("https://klasma.github.io/Logging_2514/klagomål/S 657-2025 FSC-klagomål.docx", "S 657-2025")</f>
        <v/>
      </c>
      <c r="AB23">
        <f>HYPERLINK("https://klasma.github.io/Logging_2514/klagomålsmail/S 657-2025 FSC-klagomål mail.docx", "S 657-2025")</f>
        <v/>
      </c>
      <c r="AC23">
        <f>HYPERLINK("https://klasma.github.io/Logging_2514/tillsyn/S 657-2025 tillsynsbegäran.docx", "S 657-2025")</f>
        <v/>
      </c>
      <c r="AD23">
        <f>HYPERLINK("https://klasma.github.io/Logging_2514/tillsynsmail/S 657-2025 tillsynsbegäran mail.docx", "S 657-2025")</f>
        <v/>
      </c>
    </row>
    <row r="24" ht="15" customHeight="1">
      <c r="A24" t="inlineStr">
        <is>
          <t>A 34184-2022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44791</v>
      </c>
      <c r="E24" s="1" t="n">
        <v>46324</v>
      </c>
      <c r="F24" t="inlineStr">
        <is>
          <t>NORRBOTTENS LÄN</t>
        </is>
      </c>
      <c r="G24" t="inlineStr">
        <is>
          <t>KALIX</t>
        </is>
      </c>
      <c r="H24" t="inlineStr">
        <is>
          <t>Sveaskog</t>
        </is>
      </c>
      <c r="I24" t="n">
        <v>15.2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s="2" t="inlineStr">
        <is>
          <t>Garnlav</t>
        </is>
      </c>
      <c r="W24">
        <f>HYPERLINK("https://klasma.github.io/Logging_2514/artfynd/A 34184-2022 artfynd.xlsx", "A 34184-2022")</f>
        <v/>
      </c>
      <c r="X24">
        <f>HYPERLINK("https://klasma.github.io/Logging_2514/kartor/A 34184-2022 karta.png", "A 34184-2022")</f>
        <v/>
      </c>
      <c r="Y24">
        <f>HYPERLINK("https://klasma.github.io/Logging_2514/kartor_geotiff/A 34184-2022 georefererad karta.tif", "A 34184-2022")</f>
        <v/>
      </c>
      <c r="AA24">
        <f>HYPERLINK("https://klasma.github.io/Logging_2514/klagomål/A 34184-2022 FSC-klagomål.docx", "A 34184-2022")</f>
        <v/>
      </c>
      <c r="AB24">
        <f>HYPERLINK("https://klasma.github.io/Logging_2514/klagomålsmail/A 34184-2022 FSC-klagomål mail.docx", "A 34184-2022")</f>
        <v/>
      </c>
      <c r="AC24">
        <f>HYPERLINK("https://klasma.github.io/Logging_2514/tillsyn/A 34184-2022 tillsynsbegäran.docx", "A 34184-2022")</f>
        <v/>
      </c>
      <c r="AD24">
        <f>HYPERLINK("https://klasma.github.io/Logging_2514/tillsynsmail/A 34184-2022 tillsynsbegäran mail.docx", "A 34184-2022")</f>
        <v/>
      </c>
    </row>
    <row r="25" ht="15" customHeight="1">
      <c r="A25" t="inlineStr">
        <is>
          <t>A 51497-2025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45950</v>
      </c>
      <c r="E25" s="1" t="n">
        <v>46324</v>
      </c>
      <c r="F25" t="inlineStr">
        <is>
          <t>NORRBOTTENS LÄN</t>
        </is>
      </c>
      <c r="G25" t="inlineStr">
        <is>
          <t>KALIX</t>
        </is>
      </c>
      <c r="I25" t="n">
        <v>4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1</v>
      </c>
      <c r="V25" s="2" t="inlineStr">
        <is>
          <t>Lunglav</t>
        </is>
      </c>
      <c r="W25">
        <f>HYPERLINK("https://klasma.github.io/Logging_2514/artfynd/A 51497-2025 artfynd.xlsx", "A 51497-2025")</f>
        <v/>
      </c>
      <c r="X25">
        <f>HYPERLINK("https://klasma.github.io/Logging_2514/kartor/A 51497-2025 karta.png", "A 51497-2025")</f>
        <v/>
      </c>
      <c r="Y25">
        <f>HYPERLINK("https://klasma.github.io/Logging_2514/kartor_geotiff/A 51497-2025 georefererad karta.tif", "A 51497-2025")</f>
        <v/>
      </c>
      <c r="AA25">
        <f>HYPERLINK("https://klasma.github.io/Logging_2514/klagomål/A 51497-2025 FSC-klagomål.docx", "A 51497-2025")</f>
        <v/>
      </c>
      <c r="AB25">
        <f>HYPERLINK("https://klasma.github.io/Logging_2514/klagomålsmail/A 51497-2025 FSC-klagomål mail.docx", "A 51497-2025")</f>
        <v/>
      </c>
      <c r="AC25">
        <f>HYPERLINK("https://klasma.github.io/Logging_2514/tillsyn/A 51497-2025 tillsynsbegäran.docx", "A 51497-2025")</f>
        <v/>
      </c>
      <c r="AD25">
        <f>HYPERLINK("https://klasma.github.io/Logging_2514/tillsynsmail/A 51497-2025 tillsynsbegäran mail.docx", "A 51497-2025")</f>
        <v/>
      </c>
    </row>
    <row r="26" ht="15" customHeight="1">
      <c r="A26" t="inlineStr">
        <is>
          <t>A 3387-2023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44945</v>
      </c>
      <c r="E26" s="1" t="n">
        <v>46324</v>
      </c>
      <c r="F26" t="inlineStr">
        <is>
          <t>NORRBOTTENS LÄN</t>
        </is>
      </c>
      <c r="G26" t="inlineStr">
        <is>
          <t>KALIX</t>
        </is>
      </c>
      <c r="I26" t="n">
        <v>2.9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Guckusko</t>
        </is>
      </c>
      <c r="W26">
        <f>HYPERLINK("https://klasma.github.io/Logging_2514/artfynd/A 3387-2023 artfynd.xlsx", "A 3387-2023")</f>
        <v/>
      </c>
      <c r="X26">
        <f>HYPERLINK("https://klasma.github.io/Logging_2514/kartor/A 3387-2023 karta.png", "A 3387-2023")</f>
        <v/>
      </c>
      <c r="Y26">
        <f>HYPERLINK("https://klasma.github.io/Logging_2514/kartor_geotiff/A 3387-2023 georefererad karta.tif", "A 3387-2023")</f>
        <v/>
      </c>
      <c r="AA26">
        <f>HYPERLINK("https://klasma.github.io/Logging_2514/klagomål/A 3387-2023 FSC-klagomål.docx", "A 3387-2023")</f>
        <v/>
      </c>
      <c r="AB26">
        <f>HYPERLINK("https://klasma.github.io/Logging_2514/klagomålsmail/A 3387-2023 FSC-klagomål mail.docx", "A 3387-2023")</f>
        <v/>
      </c>
      <c r="AC26">
        <f>HYPERLINK("https://klasma.github.io/Logging_2514/tillsyn/A 3387-2023 tillsynsbegäran.docx", "A 3387-2023")</f>
        <v/>
      </c>
      <c r="AD26">
        <f>HYPERLINK("https://klasma.github.io/Logging_2514/tillsynsmail/A 3387-2023 tillsynsbegäran mail.docx", "A 3387-2023")</f>
        <v/>
      </c>
    </row>
    <row r="27" ht="15" customHeight="1">
      <c r="A27" t="inlineStr">
        <is>
          <t>A 21552-2023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45063</v>
      </c>
      <c r="E27" s="1" t="n">
        <v>46324</v>
      </c>
      <c r="F27" t="inlineStr">
        <is>
          <t>NORRBOTTENS LÄN</t>
        </is>
      </c>
      <c r="G27" t="inlineStr">
        <is>
          <t>KALIX</t>
        </is>
      </c>
      <c r="I27" t="n">
        <v>3.7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Mattlummer</t>
        </is>
      </c>
      <c r="W27">
        <f>HYPERLINK("https://klasma.github.io/Logging_2514/artfynd/A 21552-2023 artfynd.xlsx", "A 21552-2023")</f>
        <v/>
      </c>
      <c r="X27">
        <f>HYPERLINK("https://klasma.github.io/Logging_2514/kartor/A 21552-2023 karta.png", "A 21552-2023")</f>
        <v/>
      </c>
      <c r="Y27">
        <f>HYPERLINK("https://klasma.github.io/Logging_2514/kartor_geotiff/A 21552-2023 georefererad karta.tif", "A 21552-2023")</f>
        <v/>
      </c>
      <c r="AA27">
        <f>HYPERLINK("https://klasma.github.io/Logging_2514/klagomål/A 21552-2023 FSC-klagomål.docx", "A 21552-2023")</f>
        <v/>
      </c>
      <c r="AB27">
        <f>HYPERLINK("https://klasma.github.io/Logging_2514/klagomålsmail/A 21552-2023 FSC-klagomål mail.docx", "A 21552-2023")</f>
        <v/>
      </c>
      <c r="AC27">
        <f>HYPERLINK("https://klasma.github.io/Logging_2514/tillsyn/A 21552-2023 tillsynsbegäran.docx", "A 21552-2023")</f>
        <v/>
      </c>
      <c r="AD27">
        <f>HYPERLINK("https://klasma.github.io/Logging_2514/tillsynsmail/A 21552-2023 tillsynsbegäran mail.docx", "A 21552-2023")</f>
        <v/>
      </c>
    </row>
    <row r="28" ht="15" customHeight="1">
      <c r="A28" t="inlineStr">
        <is>
          <t>A 24466-2026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46170</v>
      </c>
      <c r="E28" s="1" t="n">
        <v>46324</v>
      </c>
      <c r="F28" t="inlineStr">
        <is>
          <t>NORRBOTTENS LÄN</t>
        </is>
      </c>
      <c r="G28" t="inlineStr">
        <is>
          <t>KALIX</t>
        </is>
      </c>
      <c r="I28" t="n">
        <v>6.3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2</v>
      </c>
      <c r="U28" t="n">
        <v>0</v>
      </c>
      <c r="V28" s="2" t="inlineStr">
        <is>
          <t>Spillkråka</t>
        </is>
      </c>
      <c r="W28">
        <f>HYPERLINK("https://klasma.github.io/Logging_2514/artfynd/A 24466-2026 artfynd.xlsx", "A 24466-2026")</f>
        <v/>
      </c>
      <c r="X28">
        <f>HYPERLINK("https://klasma.github.io/Logging_2514/kartor/A 24466-2026 karta.png", "A 24466-2026")</f>
        <v/>
      </c>
      <c r="Y28">
        <f>HYPERLINK("https://klasma.github.io/Logging_2514/kartor_geotiff/A 24466-2026 georefererad karta.tif", "A 24466-2026")</f>
        <v/>
      </c>
      <c r="AA28">
        <f>HYPERLINK("https://klasma.github.io/Logging_2514/klagomål/A 24466-2026 FSC-klagomål.docx", "A 24466-2026")</f>
        <v/>
      </c>
      <c r="AB28">
        <f>HYPERLINK("https://klasma.github.io/Logging_2514/klagomålsmail/A 24466-2026 FSC-klagomål mail.docx", "A 24466-2026")</f>
        <v/>
      </c>
      <c r="AC28">
        <f>HYPERLINK("https://klasma.github.io/Logging_2514/tillsyn/A 24466-2026 tillsynsbegäran.docx", "A 24466-2026")</f>
        <v/>
      </c>
      <c r="AD28">
        <f>HYPERLINK("https://klasma.github.io/Logging_2514/tillsynsmail/A 24466-2026 tillsynsbegäran mail.docx", "A 24466-2026")</f>
        <v/>
      </c>
      <c r="AE28">
        <f>HYPERLINK("https://klasma.github.io/Logging_2514/fåglar/A 24466-2026 prioriterade fågelarter.docx", "A 24466-2026")</f>
        <v/>
      </c>
    </row>
    <row r="29" ht="15" customHeight="1">
      <c r="A29" t="inlineStr">
        <is>
          <t>A 2336-2026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46036</v>
      </c>
      <c r="E29" s="1" t="n">
        <v>46324</v>
      </c>
      <c r="F29" t="inlineStr">
        <is>
          <t>NORRBOTTENS LÄN</t>
        </is>
      </c>
      <c r="G29" t="inlineStr">
        <is>
          <t>KALIX</t>
        </is>
      </c>
      <c r="H29" t="inlineStr">
        <is>
          <t>Sveaskog</t>
        </is>
      </c>
      <c r="I29" t="n">
        <v>3.8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s="2" t="inlineStr">
        <is>
          <t>Fläcknycklar</t>
        </is>
      </c>
      <c r="W29">
        <f>HYPERLINK("https://klasma.github.io/Logging_2514/artfynd/A 2336-2026 artfynd.xlsx", "A 2336-2026")</f>
        <v/>
      </c>
      <c r="X29">
        <f>HYPERLINK("https://klasma.github.io/Logging_2514/kartor/A 2336-2026 karta.png", "A 2336-2026")</f>
        <v/>
      </c>
      <c r="Y29">
        <f>HYPERLINK("https://klasma.github.io/Logging_2514/kartor_geotiff/A 2336-2026 georefererad karta.tif", "A 2336-2026")</f>
        <v/>
      </c>
      <c r="AA29">
        <f>HYPERLINK("https://klasma.github.io/Logging_2514/klagomål/A 2336-2026 FSC-klagomål.docx", "A 2336-2026")</f>
        <v/>
      </c>
      <c r="AB29">
        <f>HYPERLINK("https://klasma.github.io/Logging_2514/klagomålsmail/A 2336-2026 FSC-klagomål mail.docx", "A 2336-2026")</f>
        <v/>
      </c>
      <c r="AC29">
        <f>HYPERLINK("https://klasma.github.io/Logging_2514/tillsyn/A 2336-2026 tillsynsbegäran.docx", "A 2336-2026")</f>
        <v/>
      </c>
      <c r="AD29">
        <f>HYPERLINK("https://klasma.github.io/Logging_2514/tillsynsmail/A 2336-2026 tillsynsbegäran mail.docx", "A 2336-2026")</f>
        <v/>
      </c>
    </row>
    <row r="30" ht="15" customHeight="1">
      <c r="A30" t="inlineStr">
        <is>
          <t>A 2320-2026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46036</v>
      </c>
      <c r="E30" s="1" t="n">
        <v>46324</v>
      </c>
      <c r="F30" t="inlineStr">
        <is>
          <t>NORRBOTTENS LÄN</t>
        </is>
      </c>
      <c r="G30" t="inlineStr">
        <is>
          <t>KALIX</t>
        </is>
      </c>
      <c r="H30" t="inlineStr">
        <is>
          <t>Sveaskog</t>
        </is>
      </c>
      <c r="I30" t="n">
        <v>3.4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1</v>
      </c>
      <c r="T30" t="n">
        <v>1</v>
      </c>
      <c r="U30" t="n">
        <v>0</v>
      </c>
      <c r="V30" s="2" t="inlineStr">
        <is>
          <t>Gammelgransskål</t>
        </is>
      </c>
      <c r="W30">
        <f>HYPERLINK("https://klasma.github.io/Logging_2514/artfynd/A 2320-2026 artfynd.xlsx", "A 2320-2026")</f>
        <v/>
      </c>
      <c r="X30">
        <f>HYPERLINK("https://klasma.github.io/Logging_2514/kartor/A 2320-2026 karta.png", "A 2320-2026")</f>
        <v/>
      </c>
      <c r="Y30">
        <f>HYPERLINK("https://klasma.github.io/Logging_2514/kartor_geotiff/A 2320-2026 georefererad karta.tif", "A 2320-2026")</f>
        <v/>
      </c>
      <c r="AA30">
        <f>HYPERLINK("https://klasma.github.io/Logging_2514/klagomål/A 2320-2026 FSC-klagomål.docx", "A 2320-2026")</f>
        <v/>
      </c>
      <c r="AB30">
        <f>HYPERLINK("https://klasma.github.io/Logging_2514/klagomålsmail/A 2320-2026 FSC-klagomål mail.docx", "A 2320-2026")</f>
        <v/>
      </c>
      <c r="AC30">
        <f>HYPERLINK("https://klasma.github.io/Logging_2514/tillsyn/A 2320-2026 tillsynsbegäran.docx", "A 2320-2026")</f>
        <v/>
      </c>
      <c r="AD30">
        <f>HYPERLINK("https://klasma.github.io/Logging_2514/tillsynsmail/A 2320-2026 tillsynsbegäran mail.docx", "A 2320-2026")</f>
        <v/>
      </c>
    </row>
    <row r="31" ht="15" customHeight="1">
      <c r="A31" t="inlineStr">
        <is>
          <t>A 26975-2026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46185</v>
      </c>
      <c r="E31" s="1" t="n">
        <v>46324</v>
      </c>
      <c r="F31" t="inlineStr">
        <is>
          <t>NORRBOTTENS LÄN</t>
        </is>
      </c>
      <c r="G31" t="inlineStr">
        <is>
          <t>KALIX</t>
        </is>
      </c>
      <c r="H31" t="inlineStr">
        <is>
          <t>Sveaskog</t>
        </is>
      </c>
      <c r="I31" t="n">
        <v>5.8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1</v>
      </c>
      <c r="U31" t="n">
        <v>1</v>
      </c>
      <c r="V31" s="2" t="inlineStr">
        <is>
          <t>Fläcknycklar</t>
        </is>
      </c>
      <c r="W31">
        <f>HYPERLINK("https://klasma.github.io/Logging_2514/artfynd/A 26975-2026 artfynd.xlsx", "A 26975-2026")</f>
        <v/>
      </c>
      <c r="X31">
        <f>HYPERLINK("https://klasma.github.io/Logging_2514/kartor/A 26975-2026 karta.png", "A 26975-2026")</f>
        <v/>
      </c>
      <c r="Y31">
        <f>HYPERLINK("https://klasma.github.io/Logging_2514/kartor_geotiff/A 26975-2026 georefererad karta.tif", "A 26975-2026")</f>
        <v/>
      </c>
      <c r="AA31">
        <f>HYPERLINK("https://klasma.github.io/Logging_2514/klagomål/A 26975-2026 FSC-klagomål.docx", "A 26975-2026")</f>
        <v/>
      </c>
      <c r="AB31">
        <f>HYPERLINK("https://klasma.github.io/Logging_2514/klagomålsmail/A 26975-2026 FSC-klagomål mail.docx", "A 26975-2026")</f>
        <v/>
      </c>
      <c r="AC31">
        <f>HYPERLINK("https://klasma.github.io/Logging_2514/tillsyn/A 26975-2026 tillsynsbegäran.docx", "A 26975-2026")</f>
        <v/>
      </c>
      <c r="AD31">
        <f>HYPERLINK("https://klasma.github.io/Logging_2514/tillsynsmail/A 26975-2026 tillsynsbegäran mail.docx", "A 26975-2026")</f>
        <v/>
      </c>
    </row>
    <row r="32" ht="15" customHeight="1">
      <c r="A32" t="inlineStr">
        <is>
          <t>A 10071-2024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45364</v>
      </c>
      <c r="E32" s="1" t="n">
        <v>46324</v>
      </c>
      <c r="F32" t="inlineStr">
        <is>
          <t>NORRBOTTENS LÄN</t>
        </is>
      </c>
      <c r="G32" t="inlineStr">
        <is>
          <t>KALIX</t>
        </is>
      </c>
      <c r="I32" t="n">
        <v>1.4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2</v>
      </c>
      <c r="U32" t="n">
        <v>2</v>
      </c>
      <c r="V32" s="2" t="inlineStr">
        <is>
          <t>Garnlav</t>
        </is>
      </c>
      <c r="W32">
        <f>HYPERLINK("https://klasma.github.io/Logging_2514/artfynd/A 10071-2024 artfynd.xlsx", "A 10071-2024")</f>
        <v/>
      </c>
      <c r="X32">
        <f>HYPERLINK("https://klasma.github.io/Logging_2514/kartor/A 10071-2024 karta.png", "A 10071-2024")</f>
        <v/>
      </c>
      <c r="Y32">
        <f>HYPERLINK("https://klasma.github.io/Logging_2514/kartor_geotiff/A 10071-2024 georefererad karta.tif", "A 10071-2024")</f>
        <v/>
      </c>
      <c r="AA32">
        <f>HYPERLINK("https://klasma.github.io/Logging_2514/klagomål/A 10071-2024 FSC-klagomål.docx", "A 10071-2024")</f>
        <v/>
      </c>
      <c r="AB32">
        <f>HYPERLINK("https://klasma.github.io/Logging_2514/klagomålsmail/A 10071-2024 FSC-klagomål mail.docx", "A 10071-2024")</f>
        <v/>
      </c>
      <c r="AC32">
        <f>HYPERLINK("https://klasma.github.io/Logging_2514/tillsyn/A 10071-2024 tillsynsbegäran.docx", "A 10071-2024")</f>
        <v/>
      </c>
      <c r="AD32">
        <f>HYPERLINK("https://klasma.github.io/Logging_2514/tillsynsmail/A 10071-2024 tillsynsbegäran mail.docx", "A 10071-2024")</f>
        <v/>
      </c>
    </row>
    <row r="33" ht="15" customHeight="1">
      <c r="A33" t="inlineStr">
        <is>
          <t>A 18012-2024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45419</v>
      </c>
      <c r="E33" s="1" t="n">
        <v>46324</v>
      </c>
      <c r="F33" t="inlineStr">
        <is>
          <t>NORRBOTTENS LÄN</t>
        </is>
      </c>
      <c r="G33" t="inlineStr">
        <is>
          <t>KALIX</t>
        </is>
      </c>
      <c r="H33" t="inlineStr">
        <is>
          <t>SCA</t>
        </is>
      </c>
      <c r="I33" t="n">
        <v>12.2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s="2" t="inlineStr">
        <is>
          <t>Korallrot</t>
        </is>
      </c>
      <c r="W33">
        <f>HYPERLINK("https://klasma.github.io/Logging_2514/artfynd/A 18012-2024 artfynd.xlsx", "A 18012-2024")</f>
        <v/>
      </c>
      <c r="X33">
        <f>HYPERLINK("https://klasma.github.io/Logging_2514/kartor/A 18012-2024 karta.png", "A 18012-2024")</f>
        <v/>
      </c>
      <c r="Y33">
        <f>HYPERLINK("https://klasma.github.io/Logging_2514/kartor_geotiff/A 18012-2024 georefererad karta.tif", "A 18012-2024")</f>
        <v/>
      </c>
      <c r="AA33">
        <f>HYPERLINK("https://klasma.github.io/Logging_2514/klagomål/A 18012-2024 FSC-klagomål.docx", "A 18012-2024")</f>
        <v/>
      </c>
      <c r="AB33">
        <f>HYPERLINK("https://klasma.github.io/Logging_2514/klagomålsmail/A 18012-2024 FSC-klagomål mail.docx", "A 18012-2024")</f>
        <v/>
      </c>
      <c r="AC33">
        <f>HYPERLINK("https://klasma.github.io/Logging_2514/tillsyn/A 18012-2024 tillsynsbegäran.docx", "A 18012-2024")</f>
        <v/>
      </c>
      <c r="AD33">
        <f>HYPERLINK("https://klasma.github.io/Logging_2514/tillsynsmail/A 18012-2024 tillsynsbegäran mail.docx", "A 18012-2024")</f>
        <v/>
      </c>
    </row>
    <row r="34" ht="15" customHeight="1">
      <c r="A34" t="inlineStr">
        <is>
          <t>A 23787-2026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46164</v>
      </c>
      <c r="E34" s="1" t="n">
        <v>46324</v>
      </c>
      <c r="F34" t="inlineStr">
        <is>
          <t>NORRBOTTENS LÄN</t>
        </is>
      </c>
      <c r="G34" t="inlineStr">
        <is>
          <t>KALIX</t>
        </is>
      </c>
      <c r="H34" t="inlineStr">
        <is>
          <t>Sveaskog</t>
        </is>
      </c>
      <c r="I34" t="n">
        <v>14.4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</v>
      </c>
      <c r="V34" s="2" t="inlineStr">
        <is>
          <t>Tallticka</t>
        </is>
      </c>
      <c r="W34">
        <f>HYPERLINK("https://klasma.github.io/Logging_2514/artfynd/A 23787-2026 artfynd.xlsx", "A 23787-2026")</f>
        <v/>
      </c>
      <c r="X34">
        <f>HYPERLINK("https://klasma.github.io/Logging_2514/kartor/A 23787-2026 karta.png", "A 23787-2026")</f>
        <v/>
      </c>
      <c r="Y34">
        <f>HYPERLINK("https://klasma.github.io/Logging_2514/kartor_geotiff/A 23787-2026 georefererad karta.tif", "A 23787-2026")</f>
        <v/>
      </c>
      <c r="AA34">
        <f>HYPERLINK("https://klasma.github.io/Logging_2514/klagomål/A 23787-2026 FSC-klagomål.docx", "A 23787-2026")</f>
        <v/>
      </c>
      <c r="AB34">
        <f>HYPERLINK("https://klasma.github.io/Logging_2514/klagomålsmail/A 23787-2026 FSC-klagomål mail.docx", "A 23787-2026")</f>
        <v/>
      </c>
      <c r="AC34">
        <f>HYPERLINK("https://klasma.github.io/Logging_2514/tillsyn/A 23787-2026 tillsynsbegäran.docx", "A 23787-2026")</f>
        <v/>
      </c>
      <c r="AD34">
        <f>HYPERLINK("https://klasma.github.io/Logging_2514/tillsynsmail/A 23787-2026 tillsynsbegäran mail.docx", "A 23787-2026")</f>
        <v/>
      </c>
    </row>
    <row r="35" ht="15" customHeight="1">
      <c r="A35" t="inlineStr">
        <is>
          <t>A 30693-2026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46211</v>
      </c>
      <c r="E35" s="1" t="n">
        <v>46324</v>
      </c>
      <c r="F35" t="inlineStr">
        <is>
          <t>NORRBOTTENS LÄN</t>
        </is>
      </c>
      <c r="G35" t="inlineStr">
        <is>
          <t>KALIX</t>
        </is>
      </c>
      <c r="H35" t="inlineStr">
        <is>
          <t>Sveaskog</t>
        </is>
      </c>
      <c r="I35" t="n">
        <v>5.4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2</v>
      </c>
      <c r="U35" t="n">
        <v>0</v>
      </c>
      <c r="V35" s="2" t="inlineStr">
        <is>
          <t>Garnlav</t>
        </is>
      </c>
      <c r="W35">
        <f>HYPERLINK("https://klasma.github.io/Logging_2514/artfynd/A 30693-2026 artfynd.xlsx", "A 30693-2026")</f>
        <v/>
      </c>
      <c r="X35">
        <f>HYPERLINK("https://klasma.github.io/Logging_2514/kartor/A 30693-2026 karta.png", "A 30693-2026")</f>
        <v/>
      </c>
      <c r="Y35">
        <f>HYPERLINK("https://klasma.github.io/Logging_2514/kartor_geotiff/A 30693-2026 georefererad karta.tif", "A 30693-2026")</f>
        <v/>
      </c>
      <c r="AA35">
        <f>HYPERLINK("https://klasma.github.io/Logging_2514/klagomål/A 30693-2026 FSC-klagomål.docx", "A 30693-2026")</f>
        <v/>
      </c>
      <c r="AB35">
        <f>HYPERLINK("https://klasma.github.io/Logging_2514/klagomålsmail/A 30693-2026 FSC-klagomål mail.docx", "A 30693-2026")</f>
        <v/>
      </c>
      <c r="AC35">
        <f>HYPERLINK("https://klasma.github.io/Logging_2514/tillsyn/A 30693-2026 tillsynsbegäran.docx", "A 30693-2026")</f>
        <v/>
      </c>
      <c r="AD35">
        <f>HYPERLINK("https://klasma.github.io/Logging_2514/tillsynsmail/A 30693-2026 tillsynsbegäran mail.docx", "A 30693-2026")</f>
        <v/>
      </c>
    </row>
    <row r="36" ht="15" customHeight="1">
      <c r="A36" t="inlineStr">
        <is>
          <t>A 20584-2026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46140</v>
      </c>
      <c r="E36" s="1" t="n">
        <v>46324</v>
      </c>
      <c r="F36" t="inlineStr">
        <is>
          <t>NORRBOTTENS LÄN</t>
        </is>
      </c>
      <c r="G36" t="inlineStr">
        <is>
          <t>KALIX</t>
        </is>
      </c>
      <c r="H36" t="inlineStr">
        <is>
          <t>Sveaskog</t>
        </is>
      </c>
      <c r="I36" t="n">
        <v>8.6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s="2" t="inlineStr">
        <is>
          <t>Stuplav</t>
        </is>
      </c>
      <c r="W36">
        <f>HYPERLINK("https://klasma.github.io/Logging_2514/artfynd/A 20584-2026 artfynd.xlsx", "A 20584-2026")</f>
        <v/>
      </c>
      <c r="X36">
        <f>HYPERLINK("https://klasma.github.io/Logging_2514/kartor/A 20584-2026 karta.png", "A 20584-2026")</f>
        <v/>
      </c>
      <c r="Y36">
        <f>HYPERLINK("https://klasma.github.io/Logging_2514/kartor_geotiff/A 20584-2026 georefererad karta.tif", "A 20584-2026")</f>
        <v/>
      </c>
      <c r="AA36">
        <f>HYPERLINK("https://klasma.github.io/Logging_2514/klagomål/A 20584-2026 FSC-klagomål.docx", "A 20584-2026")</f>
        <v/>
      </c>
      <c r="AB36">
        <f>HYPERLINK("https://klasma.github.io/Logging_2514/klagomålsmail/A 20584-2026 FSC-klagomål mail.docx", "A 20584-2026")</f>
        <v/>
      </c>
      <c r="AC36">
        <f>HYPERLINK("https://klasma.github.io/Logging_2514/tillsyn/A 20584-2026 tillsynsbegäran.docx", "A 20584-2026")</f>
        <v/>
      </c>
      <c r="AD36">
        <f>HYPERLINK("https://klasma.github.io/Logging_2514/tillsynsmail/A 20584-2026 tillsynsbegäran mail.docx", "A 20584-2026")</f>
        <v/>
      </c>
    </row>
    <row r="37" ht="15" customHeight="1">
      <c r="A37" t="inlineStr">
        <is>
          <t>A 33912-2026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46252</v>
      </c>
      <c r="E37" s="1" t="n">
        <v>46324</v>
      </c>
      <c r="F37" t="inlineStr">
        <is>
          <t>NORRBOTTENS LÄN</t>
        </is>
      </c>
      <c r="G37" t="inlineStr">
        <is>
          <t>KALIX</t>
        </is>
      </c>
      <c r="I37" t="n">
        <v>22.9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1</v>
      </c>
      <c r="U37" t="n">
        <v>0</v>
      </c>
      <c r="V37" s="2" t="inlineStr">
        <is>
          <t>Svarta vinbär</t>
        </is>
      </c>
      <c r="W37">
        <f>HYPERLINK("https://klasma.github.io/Logging_2514/artfynd/A 33912-2026 artfynd.xlsx", "A 33912-2026")</f>
        <v/>
      </c>
      <c r="X37">
        <f>HYPERLINK("https://klasma.github.io/Logging_2514/kartor/A 33912-2026 karta.png", "A 33912-2026")</f>
        <v/>
      </c>
      <c r="Y37">
        <f>HYPERLINK("https://klasma.github.io/Logging_2514/kartor_geotiff/A 33912-2026 georefererad karta.tif", "A 33912-2026")</f>
        <v/>
      </c>
      <c r="AA37">
        <f>HYPERLINK("https://klasma.github.io/Logging_2514/klagomål/A 33912-2026 FSC-klagomål.docx", "A 33912-2026")</f>
        <v/>
      </c>
      <c r="AB37">
        <f>HYPERLINK("https://klasma.github.io/Logging_2514/klagomålsmail/A 33912-2026 FSC-klagomål mail.docx", "A 33912-2026")</f>
        <v/>
      </c>
      <c r="AC37">
        <f>HYPERLINK("https://klasma.github.io/Logging_2514/tillsyn/A 33912-2026 tillsynsbegäran.docx", "A 33912-2026")</f>
        <v/>
      </c>
      <c r="AD37">
        <f>HYPERLINK("https://klasma.github.io/Logging_2514/tillsynsmail/A 33912-2026 tillsynsbegäran mail.docx", "A 33912-2026")</f>
        <v/>
      </c>
    </row>
    <row r="38" ht="15" customHeight="1">
      <c r="A38" t="inlineStr">
        <is>
          <t>A 42957-2026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46310</v>
      </c>
      <c r="E38" s="1" t="n">
        <v>46324</v>
      </c>
      <c r="F38" t="inlineStr">
        <is>
          <t>NORRBOTTENS LÄN</t>
        </is>
      </c>
      <c r="G38" t="inlineStr">
        <is>
          <t>KALIX</t>
        </is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0</v>
      </c>
      <c r="V38" s="2" t="inlineStr">
        <is>
          <t>Mattlummer</t>
        </is>
      </c>
      <c r="W38">
        <f>HYPERLINK("https://klasma.github.io/Logging_2514/artfynd/A 42957-2026 artfynd.xlsx", "A 42957-2026")</f>
        <v/>
      </c>
      <c r="X38">
        <f>HYPERLINK("https://klasma.github.io/Logging_2514/kartor/A 42957-2026 karta.png", "A 42957-2026")</f>
        <v/>
      </c>
      <c r="Y38">
        <f>HYPERLINK("https://klasma.github.io/Logging_2514/kartor_geotiff/A 42957-2026 georefererad karta.tif", "A 42957-2026")</f>
        <v/>
      </c>
      <c r="AA38">
        <f>HYPERLINK("https://klasma.github.io/Logging_2514/klagomål/A 42957-2026 FSC-klagomål.docx", "A 42957-2026")</f>
        <v/>
      </c>
      <c r="AB38">
        <f>HYPERLINK("https://klasma.github.io/Logging_2514/klagomålsmail/A 42957-2026 FSC-klagomål mail.docx", "A 42957-2026")</f>
        <v/>
      </c>
      <c r="AC38">
        <f>HYPERLINK("https://klasma.github.io/Logging_2514/tillsyn/A 42957-2026 tillsynsbegäran.docx", "A 42957-2026")</f>
        <v/>
      </c>
      <c r="AD38">
        <f>HYPERLINK("https://klasma.github.io/Logging_2514/tillsynsmail/A 42957-2026 tillsynsbegäran mail.docx", "A 42957-2026")</f>
        <v/>
      </c>
    </row>
    <row r="39" ht="15" customHeight="1">
      <c r="A39" t="inlineStr">
        <is>
          <t>S 293-2023</t>
        </is>
      </c>
      <c r="B39" t="inlineStr">
        <is>
          <t>samrådsanmälan</t>
        </is>
      </c>
      <c r="C39" t="inlineStr">
        <is>
          <t>Skogsgödsling</t>
        </is>
      </c>
      <c r="D39" s="1" t="n">
        <v>44956</v>
      </c>
      <c r="E39" s="1" t="n">
        <v>46324</v>
      </c>
      <c r="F39" t="inlineStr">
        <is>
          <t>NORRBOTTENS LÄN</t>
        </is>
      </c>
      <c r="G39" t="inlineStr">
        <is>
          <t>KALIX</t>
        </is>
      </c>
      <c r="H39" t="inlineStr">
        <is>
          <t>SCA</t>
        </is>
      </c>
      <c r="I39" t="n">
        <v>290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</v>
      </c>
      <c r="U39" t="n">
        <v>1</v>
      </c>
      <c r="V39" s="2" t="inlineStr">
        <is>
          <t>Spillkråka</t>
        </is>
      </c>
      <c r="W39">
        <f>HYPERLINK("https://klasma.github.io/Logging_2514/artfynd/S 293-2023 artfynd.xlsx", "S 293-2023")</f>
        <v/>
      </c>
      <c r="X39">
        <f>HYPERLINK("https://klasma.github.io/Logging_2514/kartor/S 293-2023 karta.png", "S 293-2023")</f>
        <v/>
      </c>
      <c r="Y39">
        <f>HYPERLINK("https://klasma.github.io/Logging_2514/kartor_geotiff/S 293-2023 georefererad karta.tif", "S 293-2023")</f>
        <v/>
      </c>
      <c r="AA39">
        <f>HYPERLINK("https://klasma.github.io/Logging_2514/klagomål/S 293-2023 FSC-klagomål.docx", "S 293-2023")</f>
        <v/>
      </c>
      <c r="AB39">
        <f>HYPERLINK("https://klasma.github.io/Logging_2514/klagomålsmail/S 293-2023 FSC-klagomål mail.docx", "S 293-2023")</f>
        <v/>
      </c>
      <c r="AC39">
        <f>HYPERLINK("https://klasma.github.io/Logging_2514/tillsyn/S 293-2023 tillsynsbegäran.docx", "S 293-2023")</f>
        <v/>
      </c>
      <c r="AD39">
        <f>HYPERLINK("https://klasma.github.io/Logging_2514/tillsynsmail/S 293-2023 tillsynsbegäran mail.docx", "S 293-2023")</f>
        <v/>
      </c>
      <c r="AE39">
        <f>HYPERLINK("https://klasma.github.io/Logging_2514/fåglar/S 293-2023 prioriterade fågelarter.docx", "S 293-2023")</f>
        <v/>
      </c>
    </row>
    <row r="40" ht="15" customHeight="1">
      <c r="A40" t="inlineStr">
        <is>
          <t>S 1017-2025</t>
        </is>
      </c>
      <c r="B40" t="inlineStr">
        <is>
          <t>samrådsanmälan</t>
        </is>
      </c>
      <c r="C40" t="inlineStr">
        <is>
          <t>Skogsgödsling</t>
        </is>
      </c>
      <c r="D40" s="1" t="n">
        <v>45747</v>
      </c>
      <c r="E40" s="1" t="n">
        <v>46324</v>
      </c>
      <c r="F40" t="inlineStr">
        <is>
          <t>NORRBOTTENS LÄN</t>
        </is>
      </c>
      <c r="G40" t="inlineStr">
        <is>
          <t>KALIX</t>
        </is>
      </c>
      <c r="I40" t="n">
        <v>15.7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s="2" t="inlineStr">
        <is>
          <t>Liljekonvalj</t>
        </is>
      </c>
      <c r="W40">
        <f>HYPERLINK("https://klasma.github.io/Logging_2514/artfynd/S 1017-2025 artfynd.xlsx", "S 1017-2025")</f>
        <v/>
      </c>
      <c r="X40">
        <f>HYPERLINK("https://klasma.github.io/Logging_2514/kartor/S 1017-2025 karta.png", "S 1017-2025")</f>
        <v/>
      </c>
      <c r="Y40">
        <f>HYPERLINK("https://klasma.github.io/Logging_2514/kartor_geotiff/S 1017-2025 georefererad karta.tif", "S 1017-2025")</f>
        <v/>
      </c>
      <c r="AA40">
        <f>HYPERLINK("https://klasma.github.io/Logging_2514/klagomål/S 1017-2025 FSC-klagomål.docx", "S 1017-2025")</f>
        <v/>
      </c>
      <c r="AB40">
        <f>HYPERLINK("https://klasma.github.io/Logging_2514/klagomålsmail/S 1017-2025 FSC-klagomål mail.docx", "S 1017-2025")</f>
        <v/>
      </c>
      <c r="AC40">
        <f>HYPERLINK("https://klasma.github.io/Logging_2514/tillsyn/S 1017-2025 tillsynsbegäran.docx", "S 1017-2025")</f>
        <v/>
      </c>
      <c r="AD40">
        <f>HYPERLINK("https://klasma.github.io/Logging_2514/tillsynsmail/S 1017-2025 tillsynsbegäran mail.docx", "S 1017-2025")</f>
        <v/>
      </c>
    </row>
    <row r="41" ht="15" customHeight="1">
      <c r="A41" t="inlineStr">
        <is>
          <t>A 49193-2022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44860</v>
      </c>
      <c r="E41" s="1" t="n">
        <v>46324</v>
      </c>
      <c r="F41" t="inlineStr">
        <is>
          <t>NORRBOTTENS LÄN</t>
        </is>
      </c>
      <c r="G41" t="inlineStr">
        <is>
          <t>KALIX</t>
        </is>
      </c>
      <c r="H41" t="inlineStr">
        <is>
          <t>SCA</t>
        </is>
      </c>
      <c r="I41" t="n">
        <v>0.4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47546-2022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44853</v>
      </c>
      <c r="E42" s="1" t="n">
        <v>46324</v>
      </c>
      <c r="F42" t="inlineStr">
        <is>
          <t>NORRBOTTENS LÄN</t>
        </is>
      </c>
      <c r="G42" t="inlineStr">
        <is>
          <t>KALIX</t>
        </is>
      </c>
      <c r="I42" t="n">
        <v>0.5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2099-2022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44577</v>
      </c>
      <c r="E43" s="1" t="n">
        <v>46324</v>
      </c>
      <c r="F43" t="inlineStr">
        <is>
          <t>NORRBOTTENS LÄN</t>
        </is>
      </c>
      <c r="G43" t="inlineStr">
        <is>
          <t>KALIX</t>
        </is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49845-2022</t>
        </is>
      </c>
      <c r="B44" t="inlineStr">
        <is>
          <t>avverkningsanmälan</t>
        </is>
      </c>
      <c r="C44" t="inlineStr">
        <is>
          <t>Avverkning för annat ändamål</t>
        </is>
      </c>
      <c r="D44" s="1" t="n">
        <v>44862</v>
      </c>
      <c r="E44" s="1" t="n">
        <v>46324</v>
      </c>
      <c r="F44" t="inlineStr">
        <is>
          <t>NORRBOTTENS LÄN</t>
        </is>
      </c>
      <c r="G44" t="inlineStr">
        <is>
          <t>KALIX</t>
        </is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2097-2022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44577</v>
      </c>
      <c r="E45" s="1" t="n">
        <v>46324</v>
      </c>
      <c r="F45" t="inlineStr">
        <is>
          <t>NORRBOTTENS LÄN</t>
        </is>
      </c>
      <c r="G45" t="inlineStr">
        <is>
          <t>KALIX</t>
        </is>
      </c>
      <c r="I45" t="n">
        <v>0.1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16186-2022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44669</v>
      </c>
      <c r="E46" s="1" t="n">
        <v>46324</v>
      </c>
      <c r="F46" t="inlineStr">
        <is>
          <t>NORRBOTTENS LÄN</t>
        </is>
      </c>
      <c r="G46" t="inlineStr">
        <is>
          <t>KALIX</t>
        </is>
      </c>
      <c r="I46" t="n">
        <v>6.8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23272-2022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44720</v>
      </c>
      <c r="E47" s="1" t="n">
        <v>46324</v>
      </c>
      <c r="F47" t="inlineStr">
        <is>
          <t>NORRBOTTENS LÄN</t>
        </is>
      </c>
      <c r="G47" t="inlineStr">
        <is>
          <t>KALIX</t>
        </is>
      </c>
      <c r="I47" t="n">
        <v>3.8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31812-2022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44776</v>
      </c>
      <c r="E48" s="1" t="n">
        <v>46324</v>
      </c>
      <c r="F48" t="inlineStr">
        <is>
          <t>NORRBOTTENS LÄN</t>
        </is>
      </c>
      <c r="G48" t="inlineStr">
        <is>
          <t>KALIX</t>
        </is>
      </c>
      <c r="H48" t="inlineStr">
        <is>
          <t>Sveaskog</t>
        </is>
      </c>
      <c r="I48" t="n">
        <v>1.1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53769-2022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44880</v>
      </c>
      <c r="E49" s="1" t="n">
        <v>46324</v>
      </c>
      <c r="F49" t="inlineStr">
        <is>
          <t>NORRBOTTENS LÄN</t>
        </is>
      </c>
      <c r="G49" t="inlineStr">
        <is>
          <t>KALIX</t>
        </is>
      </c>
      <c r="I49" t="n">
        <v>3.4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64889-2021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44512</v>
      </c>
      <c r="E50" s="1" t="n">
        <v>46324</v>
      </c>
      <c r="F50" t="inlineStr">
        <is>
          <t>NORRBOTTENS LÄN</t>
        </is>
      </c>
      <c r="G50" t="inlineStr">
        <is>
          <t>KALIX</t>
        </is>
      </c>
      <c r="I50" t="n">
        <v>1.4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47062-2022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44851</v>
      </c>
      <c r="E51" s="1" t="n">
        <v>46324</v>
      </c>
      <c r="F51" t="inlineStr">
        <is>
          <t>NORRBOTTENS LÄN</t>
        </is>
      </c>
      <c r="G51" t="inlineStr">
        <is>
          <t>KALIX</t>
        </is>
      </c>
      <c r="I51" t="n">
        <v>1.3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68804-2021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44529</v>
      </c>
      <c r="E52" s="1" t="n">
        <v>46324</v>
      </c>
      <c r="F52" t="inlineStr">
        <is>
          <t>NORRBOTTENS LÄN</t>
        </is>
      </c>
      <c r="G52" t="inlineStr">
        <is>
          <t>KALIX</t>
        </is>
      </c>
      <c r="I52" t="n">
        <v>1.5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33159-2022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44785</v>
      </c>
      <c r="E53" s="1" t="n">
        <v>46324</v>
      </c>
      <c r="F53" t="inlineStr">
        <is>
          <t>NORRBOTTENS LÄN</t>
        </is>
      </c>
      <c r="G53" t="inlineStr">
        <is>
          <t>KALIX</t>
        </is>
      </c>
      <c r="H53" t="inlineStr">
        <is>
          <t>Sveaskog</t>
        </is>
      </c>
      <c r="I53" t="n">
        <v>0.8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52476-2022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44874</v>
      </c>
      <c r="E54" s="1" t="n">
        <v>46324</v>
      </c>
      <c r="F54" t="inlineStr">
        <is>
          <t>NORRBOTTENS LÄN</t>
        </is>
      </c>
      <c r="G54" t="inlineStr">
        <is>
          <t>KALIX</t>
        </is>
      </c>
      <c r="I54" t="n">
        <v>3.2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30676-2023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45112</v>
      </c>
      <c r="E55" s="1" t="n">
        <v>46324</v>
      </c>
      <c r="F55" t="inlineStr">
        <is>
          <t>NORRBOTTENS LÄN</t>
        </is>
      </c>
      <c r="G55" t="inlineStr">
        <is>
          <t>KALIX</t>
        </is>
      </c>
      <c r="I55" t="n">
        <v>3.6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63593-2021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44508</v>
      </c>
      <c r="E56" s="1" t="n">
        <v>46324</v>
      </c>
      <c r="F56" t="inlineStr">
        <is>
          <t>NORRBOTTENS LÄN</t>
        </is>
      </c>
      <c r="G56" t="inlineStr">
        <is>
          <t>KALIX</t>
        </is>
      </c>
      <c r="I56" t="n">
        <v>6.8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58353-2022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44901</v>
      </c>
      <c r="E57" s="1" t="n">
        <v>46324</v>
      </c>
      <c r="F57" t="inlineStr">
        <is>
          <t>NORRBOTTENS LÄN</t>
        </is>
      </c>
      <c r="G57" t="inlineStr">
        <is>
          <t>KALIX</t>
        </is>
      </c>
      <c r="H57" t="inlineStr">
        <is>
          <t>Sveaskog</t>
        </is>
      </c>
      <c r="I57" t="n">
        <v>1.8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33158-2022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44785</v>
      </c>
      <c r="E58" s="1" t="n">
        <v>46324</v>
      </c>
      <c r="F58" t="inlineStr">
        <is>
          <t>NORRBOTTENS LÄN</t>
        </is>
      </c>
      <c r="G58" t="inlineStr">
        <is>
          <t>KALIX</t>
        </is>
      </c>
      <c r="H58" t="inlineStr">
        <is>
          <t>Sveaskog</t>
        </is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59886-2024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45641</v>
      </c>
      <c r="E59" s="1" t="n">
        <v>46324</v>
      </c>
      <c r="F59" t="inlineStr">
        <is>
          <t>NORRBOTTENS LÄN</t>
        </is>
      </c>
      <c r="G59" t="inlineStr">
        <is>
          <t>KALIX</t>
        </is>
      </c>
      <c r="I59" t="n">
        <v>3.4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49889-2023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45213</v>
      </c>
      <c r="E60" s="1" t="n">
        <v>46324</v>
      </c>
      <c r="F60" t="inlineStr">
        <is>
          <t>NORRBOTTENS LÄN</t>
        </is>
      </c>
      <c r="G60" t="inlineStr">
        <is>
          <t>KALIX</t>
        </is>
      </c>
      <c r="I60" t="n">
        <v>4.2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12195-2022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44636</v>
      </c>
      <c r="E61" s="1" t="n">
        <v>46324</v>
      </c>
      <c r="F61" t="inlineStr">
        <is>
          <t>NORRBOTTENS LÄN</t>
        </is>
      </c>
      <c r="G61" t="inlineStr">
        <is>
          <t>KALIX</t>
        </is>
      </c>
      <c r="H61" t="inlineStr">
        <is>
          <t>SCA</t>
        </is>
      </c>
      <c r="I61" t="n">
        <v>1.8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23584-2022</t>
        </is>
      </c>
      <c r="B62" t="inlineStr">
        <is>
          <t>avverkningsanmälan</t>
        </is>
      </c>
      <c r="C62" t="inlineStr">
        <is>
          <t>Avverkning för annat ändamål</t>
        </is>
      </c>
      <c r="D62" s="1" t="n">
        <v>44721</v>
      </c>
      <c r="E62" s="1" t="n">
        <v>46324</v>
      </c>
      <c r="F62" t="inlineStr">
        <is>
          <t>NORRBOTTENS LÄN</t>
        </is>
      </c>
      <c r="G62" t="inlineStr">
        <is>
          <t>KALIX</t>
        </is>
      </c>
      <c r="I62" t="n">
        <v>0.5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659-2024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45299</v>
      </c>
      <c r="E63" s="1" t="n">
        <v>46324</v>
      </c>
      <c r="F63" t="inlineStr">
        <is>
          <t>NORRBOTTENS LÄN</t>
        </is>
      </c>
      <c r="G63" t="inlineStr">
        <is>
          <t>KALIX</t>
        </is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</row>
    <row r="64" ht="15" customHeight="1">
      <c r="A64" t="inlineStr">
        <is>
          <t>A 12462-2025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45730</v>
      </c>
      <c r="E64" s="1" t="n">
        <v>46324</v>
      </c>
      <c r="F64" t="inlineStr">
        <is>
          <t>NORRBOTTENS LÄN</t>
        </is>
      </c>
      <c r="G64" t="inlineStr">
        <is>
          <t>KALIX</t>
        </is>
      </c>
      <c r="H64" t="inlineStr">
        <is>
          <t>SCA</t>
        </is>
      </c>
      <c r="I64" t="n">
        <v>1.8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25740-2022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44733</v>
      </c>
      <c r="E65" s="1" t="n">
        <v>46324</v>
      </c>
      <c r="F65" t="inlineStr">
        <is>
          <t>NORRBOTTENS LÄN</t>
        </is>
      </c>
      <c r="G65" t="inlineStr">
        <is>
          <t>KALIX</t>
        </is>
      </c>
      <c r="H65" t="inlineStr">
        <is>
          <t>Sveaskog</t>
        </is>
      </c>
      <c r="I65" t="n">
        <v>0.9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67008-2021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44522</v>
      </c>
      <c r="E66" s="1" t="n">
        <v>46324</v>
      </c>
      <c r="F66" t="inlineStr">
        <is>
          <t>NORRBOTTENS LÄN</t>
        </is>
      </c>
      <c r="G66" t="inlineStr">
        <is>
          <t>KALIX</t>
        </is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2705-2024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45314</v>
      </c>
      <c r="E67" s="1" t="n">
        <v>46324</v>
      </c>
      <c r="F67" t="inlineStr">
        <is>
          <t>NORRBOTTENS LÄN</t>
        </is>
      </c>
      <c r="G67" t="inlineStr">
        <is>
          <t>KALIX</t>
        </is>
      </c>
      <c r="I67" t="n">
        <v>8.6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2000-2024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45308</v>
      </c>
      <c r="E68" s="1" t="n">
        <v>46324</v>
      </c>
      <c r="F68" t="inlineStr">
        <is>
          <t>NORRBOTTENS LÄN</t>
        </is>
      </c>
      <c r="G68" t="inlineStr">
        <is>
          <t>KALIX</t>
        </is>
      </c>
      <c r="I68" t="n">
        <v>3.5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30567-2024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45492</v>
      </c>
      <c r="E69" s="1" t="n">
        <v>46324</v>
      </c>
      <c r="F69" t="inlineStr">
        <is>
          <t>NORRBOTTENS LÄN</t>
        </is>
      </c>
      <c r="G69" t="inlineStr">
        <is>
          <t>KALIX</t>
        </is>
      </c>
      <c r="H69" t="inlineStr">
        <is>
          <t>SCA</t>
        </is>
      </c>
      <c r="I69" t="n">
        <v>3.2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41577-2024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45560</v>
      </c>
      <c r="E70" s="1" t="n">
        <v>46324</v>
      </c>
      <c r="F70" t="inlineStr">
        <is>
          <t>NORRBOTTENS LÄN</t>
        </is>
      </c>
      <c r="G70" t="inlineStr">
        <is>
          <t>KALIX</t>
        </is>
      </c>
      <c r="H70" t="inlineStr">
        <is>
          <t>SCA</t>
        </is>
      </c>
      <c r="I70" t="n">
        <v>0.5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30582-2023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45112</v>
      </c>
      <c r="E71" s="1" t="n">
        <v>46324</v>
      </c>
      <c r="F71" t="inlineStr">
        <is>
          <t>NORRBOTTENS LÄN</t>
        </is>
      </c>
      <c r="G71" t="inlineStr">
        <is>
          <t>KALIX</t>
        </is>
      </c>
      <c r="I71" t="n">
        <v>0.6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6169-2025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45698</v>
      </c>
      <c r="E72" s="1" t="n">
        <v>46324</v>
      </c>
      <c r="F72" t="inlineStr">
        <is>
          <t>NORRBOTTENS LÄN</t>
        </is>
      </c>
      <c r="G72" t="inlineStr">
        <is>
          <t>KALIX</t>
        </is>
      </c>
      <c r="I72" t="n">
        <v>3.4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28946-2022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44749</v>
      </c>
      <c r="E73" s="1" t="n">
        <v>46324</v>
      </c>
      <c r="F73" t="inlineStr">
        <is>
          <t>NORRBOTTENS LÄN</t>
        </is>
      </c>
      <c r="G73" t="inlineStr">
        <is>
          <t>KALIX</t>
        </is>
      </c>
      <c r="H73" t="inlineStr">
        <is>
          <t>Sveaskog</t>
        </is>
      </c>
      <c r="I73" t="n">
        <v>1.6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10959-2025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45723</v>
      </c>
      <c r="E74" s="1" t="n">
        <v>46324</v>
      </c>
      <c r="F74" t="inlineStr">
        <is>
          <t>NORRBOTTENS LÄN</t>
        </is>
      </c>
      <c r="G74" t="inlineStr">
        <is>
          <t>KALIX</t>
        </is>
      </c>
      <c r="I74" t="n">
        <v>10.2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10060-2025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45719</v>
      </c>
      <c r="E75" s="1" t="n">
        <v>46324</v>
      </c>
      <c r="F75" t="inlineStr">
        <is>
          <t>NORRBOTTENS LÄN</t>
        </is>
      </c>
      <c r="G75" t="inlineStr">
        <is>
          <t>KALIX</t>
        </is>
      </c>
      <c r="I75" t="n">
        <v>11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49192-2022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44860</v>
      </c>
      <c r="E76" s="1" t="n">
        <v>46324</v>
      </c>
      <c r="F76" t="inlineStr">
        <is>
          <t>NORRBOTTENS LÄN</t>
        </is>
      </c>
      <c r="G76" t="inlineStr">
        <is>
          <t>KALIX</t>
        </is>
      </c>
      <c r="H76" t="inlineStr">
        <is>
          <t>SCA</t>
        </is>
      </c>
      <c r="I76" t="n">
        <v>0.8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10065-2025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45719</v>
      </c>
      <c r="E77" s="1" t="n">
        <v>46324</v>
      </c>
      <c r="F77" t="inlineStr">
        <is>
          <t>NORRBOTTENS LÄN</t>
        </is>
      </c>
      <c r="G77" t="inlineStr">
        <is>
          <t>KALIX</t>
        </is>
      </c>
      <c r="I77" t="n">
        <v>2.2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43188-2022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44833</v>
      </c>
      <c r="E78" s="1" t="n">
        <v>46324</v>
      </c>
      <c r="F78" t="inlineStr">
        <is>
          <t>NORRBOTTENS LÄN</t>
        </is>
      </c>
      <c r="G78" t="inlineStr">
        <is>
          <t>KALIX</t>
        </is>
      </c>
      <c r="I78" t="n">
        <v>0.9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57338-2024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45629</v>
      </c>
      <c r="E79" s="1" t="n">
        <v>46324</v>
      </c>
      <c r="F79" t="inlineStr">
        <is>
          <t>NORRBOTTENS LÄN</t>
        </is>
      </c>
      <c r="G79" t="inlineStr">
        <is>
          <t>KALIX</t>
        </is>
      </c>
      <c r="I79" t="n">
        <v>8.4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57860-2022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44898</v>
      </c>
      <c r="E80" s="1" t="n">
        <v>46324</v>
      </c>
      <c r="F80" t="inlineStr">
        <is>
          <t>NORRBOTTENS LÄN</t>
        </is>
      </c>
      <c r="G80" t="inlineStr">
        <is>
          <t>KALIX</t>
        </is>
      </c>
      <c r="I80" t="n">
        <v>0.7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62154-2023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45266</v>
      </c>
      <c r="E81" s="1" t="n">
        <v>46324</v>
      </c>
      <c r="F81" t="inlineStr">
        <is>
          <t>NORRBOTTENS LÄN</t>
        </is>
      </c>
      <c r="G81" t="inlineStr">
        <is>
          <t>KALIX</t>
        </is>
      </c>
      <c r="I81" t="n">
        <v>6.5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9887-2024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45363</v>
      </c>
      <c r="E82" s="1" t="n">
        <v>46324</v>
      </c>
      <c r="F82" t="inlineStr">
        <is>
          <t>NORRBOTTENS LÄN</t>
        </is>
      </c>
      <c r="G82" t="inlineStr">
        <is>
          <t>KALIX</t>
        </is>
      </c>
      <c r="I82" t="n">
        <v>1.4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36715-2024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45537</v>
      </c>
      <c r="E83" s="1" t="n">
        <v>46324</v>
      </c>
      <c r="F83" t="inlineStr">
        <is>
          <t>NORRBOTTENS LÄN</t>
        </is>
      </c>
      <c r="G83" t="inlineStr">
        <is>
          <t>KALIX</t>
        </is>
      </c>
      <c r="I83" t="n">
        <v>2.6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61104-2024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45645</v>
      </c>
      <c r="E84" s="1" t="n">
        <v>46324</v>
      </c>
      <c r="F84" t="inlineStr">
        <is>
          <t>NORRBOTTENS LÄN</t>
        </is>
      </c>
      <c r="G84" t="inlineStr">
        <is>
          <t>KALIX</t>
        </is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41131-2023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45173</v>
      </c>
      <c r="E85" s="1" t="n">
        <v>46324</v>
      </c>
      <c r="F85" t="inlineStr">
        <is>
          <t>NORRBOTTENS LÄN</t>
        </is>
      </c>
      <c r="G85" t="inlineStr">
        <is>
          <t>KALIX</t>
        </is>
      </c>
      <c r="I85" t="n">
        <v>1.9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25034-2025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45799</v>
      </c>
      <c r="E86" s="1" t="n">
        <v>46324</v>
      </c>
      <c r="F86" t="inlineStr">
        <is>
          <t>NORRBOTTENS LÄN</t>
        </is>
      </c>
      <c r="G86" t="inlineStr">
        <is>
          <t>KALIX</t>
        </is>
      </c>
      <c r="H86" t="inlineStr">
        <is>
          <t>SCA</t>
        </is>
      </c>
      <c r="I86" t="n">
        <v>17.9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54829-2023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45229</v>
      </c>
      <c r="E87" s="1" t="n">
        <v>46324</v>
      </c>
      <c r="F87" t="inlineStr">
        <is>
          <t>NORRBOTTENS LÄN</t>
        </is>
      </c>
      <c r="G87" t="inlineStr">
        <is>
          <t>KALIX</t>
        </is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24874-2025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45799</v>
      </c>
      <c r="E88" s="1" t="n">
        <v>46324</v>
      </c>
      <c r="F88" t="inlineStr">
        <is>
          <t>NORRBOTTENS LÄN</t>
        </is>
      </c>
      <c r="G88" t="inlineStr">
        <is>
          <t>KALIX</t>
        </is>
      </c>
      <c r="I88" t="n">
        <v>3.2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24890-2025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45799</v>
      </c>
      <c r="E89" s="1" t="n">
        <v>46324</v>
      </c>
      <c r="F89" t="inlineStr">
        <is>
          <t>NORRBOTTENS LÄN</t>
        </is>
      </c>
      <c r="G89" t="inlineStr">
        <is>
          <t>KALIX</t>
        </is>
      </c>
      <c r="I89" t="n">
        <v>12.3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25014-2025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45799</v>
      </c>
      <c r="E90" s="1" t="n">
        <v>46324</v>
      </c>
      <c r="F90" t="inlineStr">
        <is>
          <t>NORRBOTTENS LÄN</t>
        </is>
      </c>
      <c r="G90" t="inlineStr">
        <is>
          <t>KALIX</t>
        </is>
      </c>
      <c r="I90" t="n">
        <v>5.4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3614-2025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45681</v>
      </c>
      <c r="E91" s="1" t="n">
        <v>46324</v>
      </c>
      <c r="F91" t="inlineStr">
        <is>
          <t>NORRBOTTENS LÄN</t>
        </is>
      </c>
      <c r="G91" t="inlineStr">
        <is>
          <t>KALIX</t>
        </is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38857-2022</t>
        </is>
      </c>
      <c r="B92" t="inlineStr">
        <is>
          <t>avverkningsanmälan</t>
        </is>
      </c>
      <c r="C92" t="inlineStr">
        <is>
          <t>Avverkning för annat ändamål</t>
        </is>
      </c>
      <c r="D92" s="1" t="n">
        <v>44816</v>
      </c>
      <c r="E92" s="1" t="n">
        <v>46324</v>
      </c>
      <c r="F92" t="inlineStr">
        <is>
          <t>NORRBOTTENS LÄN</t>
        </is>
      </c>
      <c r="G92" t="inlineStr">
        <is>
          <t>KALIX</t>
        </is>
      </c>
      <c r="H92" t="inlineStr">
        <is>
          <t>Kommuner</t>
        </is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66739-2021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44520</v>
      </c>
      <c r="E93" s="1" t="n">
        <v>46324</v>
      </c>
      <c r="F93" t="inlineStr">
        <is>
          <t>NORRBOTTENS LÄN</t>
        </is>
      </c>
      <c r="G93" t="inlineStr">
        <is>
          <t>KALIX</t>
        </is>
      </c>
      <c r="I93" t="n">
        <v>2.4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41662-2023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45175</v>
      </c>
      <c r="E94" s="1" t="n">
        <v>46324</v>
      </c>
      <c r="F94" t="inlineStr">
        <is>
          <t>NORRBOTTENS LÄN</t>
        </is>
      </c>
      <c r="G94" t="inlineStr">
        <is>
          <t>KALIX</t>
        </is>
      </c>
      <c r="H94" t="inlineStr">
        <is>
          <t>SCA</t>
        </is>
      </c>
      <c r="I94" t="n">
        <v>1.9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13537-2022</t>
        </is>
      </c>
      <c r="B95" t="inlineStr">
        <is>
          <t>avverkningsanmälan</t>
        </is>
      </c>
      <c r="C95" t="inlineStr">
        <is>
          <t>Avverkning för annat ändamål</t>
        </is>
      </c>
      <c r="D95" s="1" t="n">
        <v>44648</v>
      </c>
      <c r="E95" s="1" t="n">
        <v>46324</v>
      </c>
      <c r="F95" t="inlineStr">
        <is>
          <t>NORRBOTTENS LÄN</t>
        </is>
      </c>
      <c r="G95" t="inlineStr">
        <is>
          <t>KALIX</t>
        </is>
      </c>
      <c r="H95" t="inlineStr">
        <is>
          <t>BillerudKorsnäs AB</t>
        </is>
      </c>
      <c r="I95" t="n">
        <v>1.6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26249-2025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45805</v>
      </c>
      <c r="E96" s="1" t="n">
        <v>46324</v>
      </c>
      <c r="F96" t="inlineStr">
        <is>
          <t>NORRBOTTENS LÄN</t>
        </is>
      </c>
      <c r="G96" t="inlineStr">
        <is>
          <t>KALIX</t>
        </is>
      </c>
      <c r="H96" t="inlineStr">
        <is>
          <t>SCA</t>
        </is>
      </c>
      <c r="I96" t="n">
        <v>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27103-2025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45811</v>
      </c>
      <c r="E97" s="1" t="n">
        <v>46324</v>
      </c>
      <c r="F97" t="inlineStr">
        <is>
          <t>NORRBOTTENS LÄN</t>
        </is>
      </c>
      <c r="G97" t="inlineStr">
        <is>
          <t>KALIX</t>
        </is>
      </c>
      <c r="H97" t="inlineStr">
        <is>
          <t>SCA</t>
        </is>
      </c>
      <c r="I97" t="n">
        <v>2.8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27101-2025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45811</v>
      </c>
      <c r="E98" s="1" t="n">
        <v>46324</v>
      </c>
      <c r="F98" t="inlineStr">
        <is>
          <t>NORRBOTTENS LÄN</t>
        </is>
      </c>
      <c r="G98" t="inlineStr">
        <is>
          <t>KALIX</t>
        </is>
      </c>
      <c r="H98" t="inlineStr">
        <is>
          <t>SCA</t>
        </is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27102-2025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45811</v>
      </c>
      <c r="E99" s="1" t="n">
        <v>46324</v>
      </c>
      <c r="F99" t="inlineStr">
        <is>
          <t>NORRBOTTENS LÄN</t>
        </is>
      </c>
      <c r="G99" t="inlineStr">
        <is>
          <t>KALIX</t>
        </is>
      </c>
      <c r="H99" t="inlineStr">
        <is>
          <t>SCA</t>
        </is>
      </c>
      <c r="I99" t="n">
        <v>2.1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50761-2024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45602</v>
      </c>
      <c r="E100" s="1" t="n">
        <v>46324</v>
      </c>
      <c r="F100" t="inlineStr">
        <is>
          <t>NORRBOTTENS LÄN</t>
        </is>
      </c>
      <c r="G100" t="inlineStr">
        <is>
          <t>KALIX</t>
        </is>
      </c>
      <c r="I100" t="n">
        <v>2.2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5398-2025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45692</v>
      </c>
      <c r="E101" s="1" t="n">
        <v>46324</v>
      </c>
      <c r="F101" t="inlineStr">
        <is>
          <t>NORRBOTTENS LÄN</t>
        </is>
      </c>
      <c r="G101" t="inlineStr">
        <is>
          <t>KALIX</t>
        </is>
      </c>
      <c r="I101" t="n">
        <v>5.8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10600-2025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45721</v>
      </c>
      <c r="E102" s="1" t="n">
        <v>46324</v>
      </c>
      <c r="F102" t="inlineStr">
        <is>
          <t>NORRBOTTENS LÄN</t>
        </is>
      </c>
      <c r="G102" t="inlineStr">
        <is>
          <t>KALIX</t>
        </is>
      </c>
      <c r="I102" t="n">
        <v>3.4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3747-2024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45321</v>
      </c>
      <c r="E103" s="1" t="n">
        <v>46324</v>
      </c>
      <c r="F103" t="inlineStr">
        <is>
          <t>NORRBOTTENS LÄN</t>
        </is>
      </c>
      <c r="G103" t="inlineStr">
        <is>
          <t>KALIX</t>
        </is>
      </c>
      <c r="I103" t="n">
        <v>1.7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27198-2025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45812</v>
      </c>
      <c r="E104" s="1" t="n">
        <v>46324</v>
      </c>
      <c r="F104" t="inlineStr">
        <is>
          <t>NORRBOTTENS LÄN</t>
        </is>
      </c>
      <c r="G104" t="inlineStr">
        <is>
          <t>KALIX</t>
        </is>
      </c>
      <c r="I104" t="n">
        <v>3.1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27761-2025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45816</v>
      </c>
      <c r="E105" s="1" t="n">
        <v>46324</v>
      </c>
      <c r="F105" t="inlineStr">
        <is>
          <t>NORRBOTTENS LÄN</t>
        </is>
      </c>
      <c r="G105" t="inlineStr">
        <is>
          <t>KALIX</t>
        </is>
      </c>
      <c r="I105" t="n">
        <v>1.2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27764-2025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45816</v>
      </c>
      <c r="E106" s="1" t="n">
        <v>46324</v>
      </c>
      <c r="F106" t="inlineStr">
        <is>
          <t>NORRBOTTENS LÄN</t>
        </is>
      </c>
      <c r="G106" t="inlineStr">
        <is>
          <t>KALIX</t>
        </is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27771-2025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45816</v>
      </c>
      <c r="E107" s="1" t="n">
        <v>46324</v>
      </c>
      <c r="F107" t="inlineStr">
        <is>
          <t>NORRBOTTENS LÄN</t>
        </is>
      </c>
      <c r="G107" t="inlineStr">
        <is>
          <t>KALIX</t>
        </is>
      </c>
      <c r="I107" t="n">
        <v>2.6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27786-2025</t>
        </is>
      </c>
      <c r="B108" t="inlineStr">
        <is>
          <t>avverkningsanmälan</t>
        </is>
      </c>
      <c r="C108" t="inlineStr">
        <is>
          <t>Föryngringsavverkning</t>
        </is>
      </c>
      <c r="D108" s="1" t="n">
        <v>45816</v>
      </c>
      <c r="E108" s="1" t="n">
        <v>46324</v>
      </c>
      <c r="F108" t="inlineStr">
        <is>
          <t>NORRBOTTENS LÄN</t>
        </is>
      </c>
      <c r="G108" t="inlineStr">
        <is>
          <t>KALIX</t>
        </is>
      </c>
      <c r="I108" t="n">
        <v>18.4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27745-2025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45815</v>
      </c>
      <c r="E109" s="1" t="n">
        <v>46324</v>
      </c>
      <c r="F109" t="inlineStr">
        <is>
          <t>NORRBOTTENS LÄN</t>
        </is>
      </c>
      <c r="G109" t="inlineStr">
        <is>
          <t>KALIX</t>
        </is>
      </c>
      <c r="I109" t="n">
        <v>0.3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27751-2025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45815</v>
      </c>
      <c r="E110" s="1" t="n">
        <v>46324</v>
      </c>
      <c r="F110" t="inlineStr">
        <is>
          <t>NORRBOTTENS LÄN</t>
        </is>
      </c>
      <c r="G110" t="inlineStr">
        <is>
          <t>KALIX</t>
        </is>
      </c>
      <c r="I110" t="n">
        <v>2.7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27765-2025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45816</v>
      </c>
      <c r="E111" s="1" t="n">
        <v>46324</v>
      </c>
      <c r="F111" t="inlineStr">
        <is>
          <t>NORRBOTTENS LÄN</t>
        </is>
      </c>
      <c r="G111" t="inlineStr">
        <is>
          <t>KALIX</t>
        </is>
      </c>
      <c r="I111" t="n">
        <v>0.9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27770-2025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45816</v>
      </c>
      <c r="E112" s="1" t="n">
        <v>46324</v>
      </c>
      <c r="F112" t="inlineStr">
        <is>
          <t>NORRBOTTENS LÄN</t>
        </is>
      </c>
      <c r="G112" t="inlineStr">
        <is>
          <t>KALIX</t>
        </is>
      </c>
      <c r="I112" t="n">
        <v>2.6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27773-2025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45816</v>
      </c>
      <c r="E113" s="1" t="n">
        <v>46324</v>
      </c>
      <c r="F113" t="inlineStr">
        <is>
          <t>NORRBOTTENS LÄN</t>
        </is>
      </c>
      <c r="G113" t="inlineStr">
        <is>
          <t>KALIX</t>
        </is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27782-2025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45816</v>
      </c>
      <c r="E114" s="1" t="n">
        <v>46324</v>
      </c>
      <c r="F114" t="inlineStr">
        <is>
          <t>NORRBOTTENS LÄN</t>
        </is>
      </c>
      <c r="G114" t="inlineStr">
        <is>
          <t>KALIX</t>
        </is>
      </c>
      <c r="I114" t="n">
        <v>2.3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27787-2025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45816</v>
      </c>
      <c r="E115" s="1" t="n">
        <v>46324</v>
      </c>
      <c r="F115" t="inlineStr">
        <is>
          <t>NORRBOTTENS LÄN</t>
        </is>
      </c>
      <c r="G115" t="inlineStr">
        <is>
          <t>KALIX</t>
        </is>
      </c>
      <c r="I115" t="n">
        <v>4.7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27762-2025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45816</v>
      </c>
      <c r="E116" s="1" t="n">
        <v>46324</v>
      </c>
      <c r="F116" t="inlineStr">
        <is>
          <t>NORRBOTTENS LÄN</t>
        </is>
      </c>
      <c r="G116" t="inlineStr">
        <is>
          <t>KALIX</t>
        </is>
      </c>
      <c r="I116" t="n">
        <v>2.2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27772-2025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45816</v>
      </c>
      <c r="E117" s="1" t="n">
        <v>46324</v>
      </c>
      <c r="F117" t="inlineStr">
        <is>
          <t>NORRBOTTENS LÄN</t>
        </is>
      </c>
      <c r="G117" t="inlineStr">
        <is>
          <t>KALIX</t>
        </is>
      </c>
      <c r="I117" t="n">
        <v>2.9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27774-2025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45816</v>
      </c>
      <c r="E118" s="1" t="n">
        <v>46324</v>
      </c>
      <c r="F118" t="inlineStr">
        <is>
          <t>NORRBOTTENS LÄN</t>
        </is>
      </c>
      <c r="G118" t="inlineStr">
        <is>
          <t>KALIX</t>
        </is>
      </c>
      <c r="I118" t="n">
        <v>0.7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27778-2025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45816</v>
      </c>
      <c r="E119" s="1" t="n">
        <v>46324</v>
      </c>
      <c r="F119" t="inlineStr">
        <is>
          <t>NORRBOTTENS LÄN</t>
        </is>
      </c>
      <c r="G119" t="inlineStr">
        <is>
          <t>KALIX</t>
        </is>
      </c>
      <c r="I119" t="n">
        <v>1.5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27780-2025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45816</v>
      </c>
      <c r="E120" s="1" t="n">
        <v>46324</v>
      </c>
      <c r="F120" t="inlineStr">
        <is>
          <t>NORRBOTTENS LÄN</t>
        </is>
      </c>
      <c r="G120" t="inlineStr">
        <is>
          <t>KALIX</t>
        </is>
      </c>
      <c r="I120" t="n">
        <v>2.4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27781-2025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45816</v>
      </c>
      <c r="E121" s="1" t="n">
        <v>46324</v>
      </c>
      <c r="F121" t="inlineStr">
        <is>
          <t>NORRBOTTENS LÄN</t>
        </is>
      </c>
      <c r="G121" t="inlineStr">
        <is>
          <t>KALIX</t>
        </is>
      </c>
      <c r="I121" t="n">
        <v>3.7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27783-2025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45816</v>
      </c>
      <c r="E122" s="1" t="n">
        <v>46324</v>
      </c>
      <c r="F122" t="inlineStr">
        <is>
          <t>NORRBOTTENS LÄN</t>
        </is>
      </c>
      <c r="G122" t="inlineStr">
        <is>
          <t>KALIX</t>
        </is>
      </c>
      <c r="I122" t="n">
        <v>0.8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27784-2025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45816</v>
      </c>
      <c r="E123" s="1" t="n">
        <v>46324</v>
      </c>
      <c r="F123" t="inlineStr">
        <is>
          <t>NORRBOTTENS LÄN</t>
        </is>
      </c>
      <c r="G123" t="inlineStr">
        <is>
          <t>KALIX</t>
        </is>
      </c>
      <c r="I123" t="n">
        <v>0.7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27747-2025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45815</v>
      </c>
      <c r="E124" s="1" t="n">
        <v>46324</v>
      </c>
      <c r="F124" t="inlineStr">
        <is>
          <t>NORRBOTTENS LÄN</t>
        </is>
      </c>
      <c r="G124" t="inlineStr">
        <is>
          <t>KALIX</t>
        </is>
      </c>
      <c r="I124" t="n">
        <v>1.2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27767-2025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45816</v>
      </c>
      <c r="E125" s="1" t="n">
        <v>46324</v>
      </c>
      <c r="F125" t="inlineStr">
        <is>
          <t>NORRBOTTENS LÄN</t>
        </is>
      </c>
      <c r="G125" t="inlineStr">
        <is>
          <t>KALIX</t>
        </is>
      </c>
      <c r="I125" t="n">
        <v>0.8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27768-2025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45816</v>
      </c>
      <c r="E126" s="1" t="n">
        <v>46324</v>
      </c>
      <c r="F126" t="inlineStr">
        <is>
          <t>NORRBOTTENS LÄN</t>
        </is>
      </c>
      <c r="G126" t="inlineStr">
        <is>
          <t>KALIX</t>
        </is>
      </c>
      <c r="I126" t="n">
        <v>1.3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27779-2025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45816</v>
      </c>
      <c r="E127" s="1" t="n">
        <v>46324</v>
      </c>
      <c r="F127" t="inlineStr">
        <is>
          <t>NORRBOTTENS LÄN</t>
        </is>
      </c>
      <c r="G127" t="inlineStr">
        <is>
          <t>KALIX</t>
        </is>
      </c>
      <c r="I127" t="n">
        <v>9.699999999999999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27752-2025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45815</v>
      </c>
      <c r="E128" s="1" t="n">
        <v>46324</v>
      </c>
      <c r="F128" t="inlineStr">
        <is>
          <t>NORRBOTTENS LÄN</t>
        </is>
      </c>
      <c r="G128" t="inlineStr">
        <is>
          <t>KALIX</t>
        </is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27763-2025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45816</v>
      </c>
      <c r="E129" s="1" t="n">
        <v>46324</v>
      </c>
      <c r="F129" t="inlineStr">
        <is>
          <t>NORRBOTTENS LÄN</t>
        </is>
      </c>
      <c r="G129" t="inlineStr">
        <is>
          <t>KALIX</t>
        </is>
      </c>
      <c r="I129" t="n">
        <v>2.3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6241-2023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44964</v>
      </c>
      <c r="E130" s="1" t="n">
        <v>46324</v>
      </c>
      <c r="F130" t="inlineStr">
        <is>
          <t>NORRBOTTENS LÄN</t>
        </is>
      </c>
      <c r="G130" t="inlineStr">
        <is>
          <t>KALIX</t>
        </is>
      </c>
      <c r="H130" t="inlineStr">
        <is>
          <t>SCA</t>
        </is>
      </c>
      <c r="I130" t="n">
        <v>1.6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27749-2025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45815</v>
      </c>
      <c r="E131" s="1" t="n">
        <v>46324</v>
      </c>
      <c r="F131" t="inlineStr">
        <is>
          <t>NORRBOTTENS LÄN</t>
        </is>
      </c>
      <c r="G131" t="inlineStr">
        <is>
          <t>KALIX</t>
        </is>
      </c>
      <c r="I131" t="n">
        <v>1.7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37657-2023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45159</v>
      </c>
      <c r="E132" s="1" t="n">
        <v>46324</v>
      </c>
      <c r="F132" t="inlineStr">
        <is>
          <t>NORRBOTTENS LÄN</t>
        </is>
      </c>
      <c r="G132" t="inlineStr">
        <is>
          <t>KALIX</t>
        </is>
      </c>
      <c r="I132" t="n">
        <v>2.4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262-2025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45660</v>
      </c>
      <c r="E133" s="1" t="n">
        <v>46324</v>
      </c>
      <c r="F133" t="inlineStr">
        <is>
          <t>NORRBOTTENS LÄN</t>
        </is>
      </c>
      <c r="G133" t="inlineStr">
        <is>
          <t>KALIX</t>
        </is>
      </c>
      <c r="I133" t="n">
        <v>5.2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33582-2025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45841</v>
      </c>
      <c r="E134" s="1" t="n">
        <v>46324</v>
      </c>
      <c r="F134" t="inlineStr">
        <is>
          <t>NORRBOTTENS LÄN</t>
        </is>
      </c>
      <c r="G134" t="inlineStr">
        <is>
          <t>KALIX</t>
        </is>
      </c>
      <c r="I134" t="n">
        <v>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13817-2025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45737</v>
      </c>
      <c r="E135" s="1" t="n">
        <v>46324</v>
      </c>
      <c r="F135" t="inlineStr">
        <is>
          <t>NORRBOTTENS LÄN</t>
        </is>
      </c>
      <c r="G135" t="inlineStr">
        <is>
          <t>KALIX</t>
        </is>
      </c>
      <c r="I135" t="n">
        <v>2.5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64907-2021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44512</v>
      </c>
      <c r="E136" s="1" t="n">
        <v>46324</v>
      </c>
      <c r="F136" t="inlineStr">
        <is>
          <t>NORRBOTTENS LÄN</t>
        </is>
      </c>
      <c r="G136" t="inlineStr">
        <is>
          <t>KALIX</t>
        </is>
      </c>
      <c r="I136" t="n">
        <v>11.5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24889-2025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45799</v>
      </c>
      <c r="E137" s="1" t="n">
        <v>46324</v>
      </c>
      <c r="F137" t="inlineStr">
        <is>
          <t>NORRBOTTENS LÄN</t>
        </is>
      </c>
      <c r="G137" t="inlineStr">
        <is>
          <t>KALIX</t>
        </is>
      </c>
      <c r="I137" t="n">
        <v>6.7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39501-2025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45890</v>
      </c>
      <c r="E138" s="1" t="n">
        <v>46324</v>
      </c>
      <c r="F138" t="inlineStr">
        <is>
          <t>NORRBOTTENS LÄN</t>
        </is>
      </c>
      <c r="G138" t="inlineStr">
        <is>
          <t>KALIX</t>
        </is>
      </c>
      <c r="I138" t="n">
        <v>2.8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46955-2024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45585</v>
      </c>
      <c r="E139" s="1" t="n">
        <v>46324</v>
      </c>
      <c r="F139" t="inlineStr">
        <is>
          <t>NORRBOTTENS LÄN</t>
        </is>
      </c>
      <c r="G139" t="inlineStr">
        <is>
          <t>KALIX</t>
        </is>
      </c>
      <c r="I139" t="n">
        <v>1.2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1233-2024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45302</v>
      </c>
      <c r="E140" s="1" t="n">
        <v>46324</v>
      </c>
      <c r="F140" t="inlineStr">
        <is>
          <t>NORRBOTTENS LÄN</t>
        </is>
      </c>
      <c r="G140" t="inlineStr">
        <is>
          <t>KALIX</t>
        </is>
      </c>
      <c r="I140" t="n">
        <v>13.5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7186-2023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44970</v>
      </c>
      <c r="E141" s="1" t="n">
        <v>46324</v>
      </c>
      <c r="F141" t="inlineStr">
        <is>
          <t>NORRBOTTENS LÄN</t>
        </is>
      </c>
      <c r="G141" t="inlineStr">
        <is>
          <t>KALIX</t>
        </is>
      </c>
      <c r="I141" t="n">
        <v>1.8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60488-2023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45259</v>
      </c>
      <c r="E142" s="1" t="n">
        <v>46324</v>
      </c>
      <c r="F142" t="inlineStr">
        <is>
          <t>NORRBOTTENS LÄN</t>
        </is>
      </c>
      <c r="G142" t="inlineStr">
        <is>
          <t>KALIX</t>
        </is>
      </c>
      <c r="I142" t="n">
        <v>2.4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39689-2025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45890</v>
      </c>
      <c r="E143" s="1" t="n">
        <v>46324</v>
      </c>
      <c r="F143" t="inlineStr">
        <is>
          <t>NORRBOTTENS LÄN</t>
        </is>
      </c>
      <c r="G143" t="inlineStr">
        <is>
          <t>KALIX</t>
        </is>
      </c>
      <c r="I143" t="n">
        <v>0.8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58182-2024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45632</v>
      </c>
      <c r="E144" s="1" t="n">
        <v>46324</v>
      </c>
      <c r="F144" t="inlineStr">
        <is>
          <t>NORRBOTTENS LÄN</t>
        </is>
      </c>
      <c r="G144" t="inlineStr">
        <is>
          <t>KALIX</t>
        </is>
      </c>
      <c r="I144" t="n">
        <v>17.4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28846-2025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45820</v>
      </c>
      <c r="E145" s="1" t="n">
        <v>46324</v>
      </c>
      <c r="F145" t="inlineStr">
        <is>
          <t>NORRBOTTENS LÄN</t>
        </is>
      </c>
      <c r="G145" t="inlineStr">
        <is>
          <t>KALIX</t>
        </is>
      </c>
      <c r="H145" t="inlineStr">
        <is>
          <t>SCA</t>
        </is>
      </c>
      <c r="I145" t="n">
        <v>5.8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28847-2025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45820</v>
      </c>
      <c r="E146" s="1" t="n">
        <v>46324</v>
      </c>
      <c r="F146" t="inlineStr">
        <is>
          <t>NORRBOTTENS LÄN</t>
        </is>
      </c>
      <c r="G146" t="inlineStr">
        <is>
          <t>KALIX</t>
        </is>
      </c>
      <c r="H146" t="inlineStr">
        <is>
          <t>SCA</t>
        </is>
      </c>
      <c r="I146" t="n">
        <v>0.7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39958-2025</t>
        </is>
      </c>
      <c r="B147" t="inlineStr">
        <is>
          <t>avverkningsanmälan</t>
        </is>
      </c>
      <c r="C147" t="inlineStr">
        <is>
          <t>Avverkning för annat ändamål</t>
        </is>
      </c>
      <c r="D147" s="1" t="n">
        <v>45892</v>
      </c>
      <c r="E147" s="1" t="n">
        <v>46324</v>
      </c>
      <c r="F147" t="inlineStr">
        <is>
          <t>NORRBOTTENS LÄN</t>
        </is>
      </c>
      <c r="G147" t="inlineStr">
        <is>
          <t>KALIX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39959-2025</t>
        </is>
      </c>
      <c r="B148" t="inlineStr">
        <is>
          <t>avverkningsanmälan</t>
        </is>
      </c>
      <c r="C148" t="inlineStr">
        <is>
          <t>Avverkning för annat ändamål</t>
        </is>
      </c>
      <c r="D148" s="1" t="n">
        <v>45892</v>
      </c>
      <c r="E148" s="1" t="n">
        <v>46324</v>
      </c>
      <c r="F148" t="inlineStr">
        <is>
          <t>NORRBOTTENS LÄN</t>
        </is>
      </c>
      <c r="G148" t="inlineStr">
        <is>
          <t>KALIX</t>
        </is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18227-2024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45420</v>
      </c>
      <c r="E149" s="1" t="n">
        <v>46324</v>
      </c>
      <c r="F149" t="inlineStr">
        <is>
          <t>NORRBOTTENS LÄN</t>
        </is>
      </c>
      <c r="G149" t="inlineStr">
        <is>
          <t>KALIX</t>
        </is>
      </c>
      <c r="H149" t="inlineStr">
        <is>
          <t>SCA</t>
        </is>
      </c>
      <c r="I149" t="n">
        <v>3.6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3043-2025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45678</v>
      </c>
      <c r="E150" s="1" t="n">
        <v>46324</v>
      </c>
      <c r="F150" t="inlineStr">
        <is>
          <t>NORRBOTTENS LÄN</t>
        </is>
      </c>
      <c r="G150" t="inlineStr">
        <is>
          <t>KALIX</t>
        </is>
      </c>
      <c r="I150" t="n">
        <v>2.1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47853-2023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45204</v>
      </c>
      <c r="E151" s="1" t="n">
        <v>46324</v>
      </c>
      <c r="F151" t="inlineStr">
        <is>
          <t>NORRBOTTENS LÄN</t>
        </is>
      </c>
      <c r="G151" t="inlineStr">
        <is>
          <t>KALIX</t>
        </is>
      </c>
      <c r="I151" t="n">
        <v>8.9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29655-2025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45825</v>
      </c>
      <c r="E152" s="1" t="n">
        <v>46324</v>
      </c>
      <c r="F152" t="inlineStr">
        <is>
          <t>NORRBOTTENS LÄN</t>
        </is>
      </c>
      <c r="G152" t="inlineStr">
        <is>
          <t>KALIX</t>
        </is>
      </c>
      <c r="I152" t="n">
        <v>5.2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62970-2023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45272</v>
      </c>
      <c r="E153" s="1" t="n">
        <v>46324</v>
      </c>
      <c r="F153" t="inlineStr">
        <is>
          <t>NORRBOTTENS LÄN</t>
        </is>
      </c>
      <c r="G153" t="inlineStr">
        <is>
          <t>KALIX</t>
        </is>
      </c>
      <c r="I153" t="n">
        <v>2.7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19976-2025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45771</v>
      </c>
      <c r="E154" s="1" t="n">
        <v>46324</v>
      </c>
      <c r="F154" t="inlineStr">
        <is>
          <t>NORRBOTTENS LÄN</t>
        </is>
      </c>
      <c r="G154" t="inlineStr">
        <is>
          <t>KALIX</t>
        </is>
      </c>
      <c r="H154" t="inlineStr">
        <is>
          <t>SCA</t>
        </is>
      </c>
      <c r="I154" t="n">
        <v>4.3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32243-2025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45835</v>
      </c>
      <c r="E155" s="1" t="n">
        <v>46324</v>
      </c>
      <c r="F155" t="inlineStr">
        <is>
          <t>NORRBOTTENS LÄN</t>
        </is>
      </c>
      <c r="G155" t="inlineStr">
        <is>
          <t>KALIX</t>
        </is>
      </c>
      <c r="I155" t="n">
        <v>2.9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25871-2022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44733</v>
      </c>
      <c r="E156" s="1" t="n">
        <v>46324</v>
      </c>
      <c r="F156" t="inlineStr">
        <is>
          <t>NORRBOTTENS LÄN</t>
        </is>
      </c>
      <c r="G156" t="inlineStr">
        <is>
          <t>KALIX</t>
        </is>
      </c>
      <c r="I156" t="n">
        <v>6.2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30232-2025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45827</v>
      </c>
      <c r="E157" s="1" t="n">
        <v>46324</v>
      </c>
      <c r="F157" t="inlineStr">
        <is>
          <t>NORRBOTTENS LÄN</t>
        </is>
      </c>
      <c r="G157" t="inlineStr">
        <is>
          <t>KALIX</t>
        </is>
      </c>
      <c r="I157" t="n">
        <v>10.6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52710-2022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44874</v>
      </c>
      <c r="E158" s="1" t="n">
        <v>46324</v>
      </c>
      <c r="F158" t="inlineStr">
        <is>
          <t>NORRBOTTENS LÄN</t>
        </is>
      </c>
      <c r="G158" t="inlineStr">
        <is>
          <t>KALIX</t>
        </is>
      </c>
      <c r="I158" t="n">
        <v>1.2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30715-2025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45831</v>
      </c>
      <c r="E159" s="1" t="n">
        <v>46324</v>
      </c>
      <c r="F159" t="inlineStr">
        <is>
          <t>NORRBOTTENS LÄN</t>
        </is>
      </c>
      <c r="G159" t="inlineStr">
        <is>
          <t>KALIX</t>
        </is>
      </c>
      <c r="I159" t="n">
        <v>0.9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20362-2023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45054</v>
      </c>
      <c r="E160" s="1" t="n">
        <v>46324</v>
      </c>
      <c r="F160" t="inlineStr">
        <is>
          <t>NORRBOTTENS LÄN</t>
        </is>
      </c>
      <c r="G160" t="inlineStr">
        <is>
          <t>KALIX</t>
        </is>
      </c>
      <c r="I160" t="n">
        <v>6.6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31209-2025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45832</v>
      </c>
      <c r="E161" s="1" t="n">
        <v>46324</v>
      </c>
      <c r="F161" t="inlineStr">
        <is>
          <t>NORRBOTTENS LÄN</t>
        </is>
      </c>
      <c r="G161" t="inlineStr">
        <is>
          <t>KALIX</t>
        </is>
      </c>
      <c r="I161" t="n">
        <v>2.4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4412-2023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44956</v>
      </c>
      <c r="E162" s="1" t="n">
        <v>46324</v>
      </c>
      <c r="F162" t="inlineStr">
        <is>
          <t>NORRBOTTENS LÄN</t>
        </is>
      </c>
      <c r="G162" t="inlineStr">
        <is>
          <t>KALIX</t>
        </is>
      </c>
      <c r="I162" t="n">
        <v>3.9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42142-2025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45904</v>
      </c>
      <c r="E163" s="1" t="n">
        <v>46324</v>
      </c>
      <c r="F163" t="inlineStr">
        <is>
          <t>NORRBOTTENS LÄN</t>
        </is>
      </c>
      <c r="G163" t="inlineStr">
        <is>
          <t>KALIX</t>
        </is>
      </c>
      <c r="I163" t="n">
        <v>1.2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42158-2025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45904</v>
      </c>
      <c r="E164" s="1" t="n">
        <v>46324</v>
      </c>
      <c r="F164" t="inlineStr">
        <is>
          <t>NORRBOTTENS LÄN</t>
        </is>
      </c>
      <c r="G164" t="inlineStr">
        <is>
          <t>KALIX</t>
        </is>
      </c>
      <c r="I164" t="n">
        <v>0.6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32244-2025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45835</v>
      </c>
      <c r="E165" s="1" t="n">
        <v>46324</v>
      </c>
      <c r="F165" t="inlineStr">
        <is>
          <t>NORRBOTTENS LÄN</t>
        </is>
      </c>
      <c r="G165" t="inlineStr">
        <is>
          <t>KALIX</t>
        </is>
      </c>
      <c r="I165" t="n">
        <v>4.2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59026-2022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44903</v>
      </c>
      <c r="E166" s="1" t="n">
        <v>46324</v>
      </c>
      <c r="F166" t="inlineStr">
        <is>
          <t>NORRBOTTENS LÄN</t>
        </is>
      </c>
      <c r="G166" t="inlineStr">
        <is>
          <t>KALIX</t>
        </is>
      </c>
      <c r="I166" t="n">
        <v>0.4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42649-2025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45906</v>
      </c>
      <c r="E167" s="1" t="n">
        <v>46324</v>
      </c>
      <c r="F167" t="inlineStr">
        <is>
          <t>NORRBOTTENS LÄN</t>
        </is>
      </c>
      <c r="G167" t="inlineStr">
        <is>
          <t>KALIX</t>
        </is>
      </c>
      <c r="I167" t="n">
        <v>1.2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43081-2025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45909</v>
      </c>
      <c r="E168" s="1" t="n">
        <v>46324</v>
      </c>
      <c r="F168" t="inlineStr">
        <is>
          <t>NORRBOTTENS LÄN</t>
        </is>
      </c>
      <c r="G168" t="inlineStr">
        <is>
          <t>KALIX</t>
        </is>
      </c>
      <c r="I168" t="n">
        <v>1.5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42974-2025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45909</v>
      </c>
      <c r="E169" s="1" t="n">
        <v>46324</v>
      </c>
      <c r="F169" t="inlineStr">
        <is>
          <t>NORRBOTTENS LÄN</t>
        </is>
      </c>
      <c r="G169" t="inlineStr">
        <is>
          <t>KALIX</t>
        </is>
      </c>
      <c r="I169" t="n">
        <v>0.8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6187-2025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45698</v>
      </c>
      <c r="E170" s="1" t="n">
        <v>46324</v>
      </c>
      <c r="F170" t="inlineStr">
        <is>
          <t>NORRBOTTENS LÄN</t>
        </is>
      </c>
      <c r="G170" t="inlineStr">
        <is>
          <t>KALIX</t>
        </is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49216-2023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45210</v>
      </c>
      <c r="E171" s="1" t="n">
        <v>46324</v>
      </c>
      <c r="F171" t="inlineStr">
        <is>
          <t>NORRBOTTENS LÄN</t>
        </is>
      </c>
      <c r="G171" t="inlineStr">
        <is>
          <t>KALIX</t>
        </is>
      </c>
      <c r="I171" t="n">
        <v>7.1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44246-2025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45915</v>
      </c>
      <c r="E172" s="1" t="n">
        <v>46324</v>
      </c>
      <c r="F172" t="inlineStr">
        <is>
          <t>NORRBOTTENS LÄN</t>
        </is>
      </c>
      <c r="G172" t="inlineStr">
        <is>
          <t>KALIX</t>
        </is>
      </c>
      <c r="I172" t="n">
        <v>7.8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42009-2024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45561</v>
      </c>
      <c r="E173" s="1" t="n">
        <v>46324</v>
      </c>
      <c r="F173" t="inlineStr">
        <is>
          <t>NORRBOTTENS LÄN</t>
        </is>
      </c>
      <c r="G173" t="inlineStr">
        <is>
          <t>KALIX</t>
        </is>
      </c>
      <c r="I173" t="n">
        <v>7.4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44239-2025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45915</v>
      </c>
      <c r="E174" s="1" t="n">
        <v>46324</v>
      </c>
      <c r="F174" t="inlineStr">
        <is>
          <t>NORRBOTTENS LÄN</t>
        </is>
      </c>
      <c r="G174" t="inlineStr">
        <is>
          <t>KALIX</t>
        </is>
      </c>
      <c r="I174" t="n">
        <v>6.1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40017-2025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45894</v>
      </c>
      <c r="E175" s="1" t="n">
        <v>46324</v>
      </c>
      <c r="F175" t="inlineStr">
        <is>
          <t>NORRBOTTENS LÄN</t>
        </is>
      </c>
      <c r="G175" t="inlineStr">
        <is>
          <t>KALIX</t>
        </is>
      </c>
      <c r="I175" t="n">
        <v>9.199999999999999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43671-2025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45912</v>
      </c>
      <c r="E176" s="1" t="n">
        <v>46324</v>
      </c>
      <c r="F176" t="inlineStr">
        <is>
          <t>NORRBOTTENS LÄN</t>
        </is>
      </c>
      <c r="G176" t="inlineStr">
        <is>
          <t>KALIX</t>
        </is>
      </c>
      <c r="H176" t="inlineStr">
        <is>
          <t>SCA</t>
        </is>
      </c>
      <c r="I176" t="n">
        <v>5.5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44748-2025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45917</v>
      </c>
      <c r="E177" s="1" t="n">
        <v>46324</v>
      </c>
      <c r="F177" t="inlineStr">
        <is>
          <t>NORRBOTTENS LÄN</t>
        </is>
      </c>
      <c r="G177" t="inlineStr">
        <is>
          <t>KALIX</t>
        </is>
      </c>
      <c r="H177" t="inlineStr">
        <is>
          <t>SCA</t>
        </is>
      </c>
      <c r="I177" t="n">
        <v>5.5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44350-2025</t>
        </is>
      </c>
      <c r="B178" t="inlineStr">
        <is>
          <t>avverkningsanmälan</t>
        </is>
      </c>
      <c r="C178" t="inlineStr">
        <is>
          <t>Avverkning för annat ändamål</t>
        </is>
      </c>
      <c r="D178" s="1" t="n">
        <v>45916</v>
      </c>
      <c r="E178" s="1" t="n">
        <v>46324</v>
      </c>
      <c r="F178" t="inlineStr">
        <is>
          <t>NORRBOTTENS LÄN</t>
        </is>
      </c>
      <c r="G178" t="inlineStr">
        <is>
          <t>KALIX</t>
        </is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21574-2023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45063</v>
      </c>
      <c r="E179" s="1" t="n">
        <v>46324</v>
      </c>
      <c r="F179" t="inlineStr">
        <is>
          <t>NORRBOTTENS LÄN</t>
        </is>
      </c>
      <c r="G179" t="inlineStr">
        <is>
          <t>KALIX</t>
        </is>
      </c>
      <c r="I179" t="n">
        <v>0.8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46752-2024</t>
        </is>
      </c>
      <c r="B180" t="inlineStr">
        <is>
          <t>avverkningsanmälan</t>
        </is>
      </c>
      <c r="C180" t="inlineStr">
        <is>
          <t>Avverkning för annat ändamål</t>
        </is>
      </c>
      <c r="D180" s="1" t="n">
        <v>45583</v>
      </c>
      <c r="E180" s="1" t="n">
        <v>46324</v>
      </c>
      <c r="F180" t="inlineStr">
        <is>
          <t>NORRBOTTENS LÄN</t>
        </is>
      </c>
      <c r="G180" t="inlineStr">
        <is>
          <t>KALIX</t>
        </is>
      </c>
      <c r="I180" t="n">
        <v>1.6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45080-2025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45919</v>
      </c>
      <c r="E181" s="1" t="n">
        <v>46324</v>
      </c>
      <c r="F181" t="inlineStr">
        <is>
          <t>NORRBOTTENS LÄN</t>
        </is>
      </c>
      <c r="G181" t="inlineStr">
        <is>
          <t>KALIX</t>
        </is>
      </c>
      <c r="H181" t="inlineStr">
        <is>
          <t>SCA</t>
        </is>
      </c>
      <c r="I181" t="n">
        <v>1.5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37781-2024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45542</v>
      </c>
      <c r="E182" s="1" t="n">
        <v>46324</v>
      </c>
      <c r="F182" t="inlineStr">
        <is>
          <t>NORRBOTTENS LÄN</t>
        </is>
      </c>
      <c r="G182" t="inlineStr">
        <is>
          <t>KALIX</t>
        </is>
      </c>
      <c r="I182" t="n">
        <v>1.1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69202-2021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44529</v>
      </c>
      <c r="E183" s="1" t="n">
        <v>46324</v>
      </c>
      <c r="F183" t="inlineStr">
        <is>
          <t>NORRBOTTENS LÄN</t>
        </is>
      </c>
      <c r="G183" t="inlineStr">
        <is>
          <t>KALIX</t>
        </is>
      </c>
      <c r="I183" t="n">
        <v>2.6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33619-2025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45841</v>
      </c>
      <c r="E184" s="1" t="n">
        <v>46324</v>
      </c>
      <c r="F184" t="inlineStr">
        <is>
          <t>NORRBOTTENS LÄN</t>
        </is>
      </c>
      <c r="G184" t="inlineStr">
        <is>
          <t>KALIX</t>
        </is>
      </c>
      <c r="I184" t="n">
        <v>6.6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64939-2023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45282</v>
      </c>
      <c r="E185" s="1" t="n">
        <v>46324</v>
      </c>
      <c r="F185" t="inlineStr">
        <is>
          <t>NORRBOTTENS LÄN</t>
        </is>
      </c>
      <c r="G185" t="inlineStr">
        <is>
          <t>KALIX</t>
        </is>
      </c>
      <c r="I185" t="n">
        <v>1.9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27615-2025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45813</v>
      </c>
      <c r="E186" s="1" t="n">
        <v>46324</v>
      </c>
      <c r="F186" t="inlineStr">
        <is>
          <t>NORRBOTTENS LÄN</t>
        </is>
      </c>
      <c r="G186" t="inlineStr">
        <is>
          <t>KALIX</t>
        </is>
      </c>
      <c r="I186" t="n">
        <v>1.9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33807-2025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45842</v>
      </c>
      <c r="E187" s="1" t="n">
        <v>46324</v>
      </c>
      <c r="F187" t="inlineStr">
        <is>
          <t>NORRBOTTENS LÄN</t>
        </is>
      </c>
      <c r="G187" t="inlineStr">
        <is>
          <t>KALIX</t>
        </is>
      </c>
      <c r="I187" t="n">
        <v>0.8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62446-2022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44924</v>
      </c>
      <c r="E188" s="1" t="n">
        <v>46324</v>
      </c>
      <c r="F188" t="inlineStr">
        <is>
          <t>NORRBOTTENS LÄN</t>
        </is>
      </c>
      <c r="G188" t="inlineStr">
        <is>
          <t>KALIX</t>
        </is>
      </c>
      <c r="I188" t="n">
        <v>7.4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283-2024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45295</v>
      </c>
      <c r="E189" s="1" t="n">
        <v>46324</v>
      </c>
      <c r="F189" t="inlineStr">
        <is>
          <t>NORRBOTTENS LÄN</t>
        </is>
      </c>
      <c r="G189" t="inlineStr">
        <is>
          <t>KALIX</t>
        </is>
      </c>
      <c r="H189" t="inlineStr">
        <is>
          <t>Sveaskog</t>
        </is>
      </c>
      <c r="I189" t="n">
        <v>0.9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31721-2022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44776</v>
      </c>
      <c r="E190" s="1" t="n">
        <v>46324</v>
      </c>
      <c r="F190" t="inlineStr">
        <is>
          <t>NORRBOTTENS LÄN</t>
        </is>
      </c>
      <c r="G190" t="inlineStr">
        <is>
          <t>KALIX</t>
        </is>
      </c>
      <c r="H190" t="inlineStr">
        <is>
          <t>Sveaskog</t>
        </is>
      </c>
      <c r="I190" t="n">
        <v>1.3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46488-2025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45925</v>
      </c>
      <c r="E191" s="1" t="n">
        <v>46324</v>
      </c>
      <c r="F191" t="inlineStr">
        <is>
          <t>NORRBOTTENS LÄN</t>
        </is>
      </c>
      <c r="G191" t="inlineStr">
        <is>
          <t>KALIX</t>
        </is>
      </c>
      <c r="I191" t="n">
        <v>4.2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46478-2025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45925</v>
      </c>
      <c r="E192" s="1" t="n">
        <v>46324</v>
      </c>
      <c r="F192" t="inlineStr">
        <is>
          <t>NORRBOTTENS LÄN</t>
        </is>
      </c>
      <c r="G192" t="inlineStr">
        <is>
          <t>KALIX</t>
        </is>
      </c>
      <c r="I192" t="n">
        <v>2.8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33791-2025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45842</v>
      </c>
      <c r="E193" s="1" t="n">
        <v>46324</v>
      </c>
      <c r="F193" t="inlineStr">
        <is>
          <t>NORRBOTTENS LÄN</t>
        </is>
      </c>
      <c r="G193" t="inlineStr">
        <is>
          <t>KALIX</t>
        </is>
      </c>
      <c r="I193" t="n">
        <v>0.5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33792-2025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45842</v>
      </c>
      <c r="E194" s="1" t="n">
        <v>46324</v>
      </c>
      <c r="F194" t="inlineStr">
        <is>
          <t>NORRBOTTENS LÄN</t>
        </is>
      </c>
      <c r="G194" t="inlineStr">
        <is>
          <t>KALIX</t>
        </is>
      </c>
      <c r="I194" t="n">
        <v>0.6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57332-2024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45629</v>
      </c>
      <c r="E195" s="1" t="n">
        <v>46324</v>
      </c>
      <c r="F195" t="inlineStr">
        <is>
          <t>NORRBOTTENS LÄN</t>
        </is>
      </c>
      <c r="G195" t="inlineStr">
        <is>
          <t>KALIX</t>
        </is>
      </c>
      <c r="I195" t="n">
        <v>13.9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47074-2025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45929</v>
      </c>
      <c r="E196" s="1" t="n">
        <v>46324</v>
      </c>
      <c r="F196" t="inlineStr">
        <is>
          <t>NORRBOTTENS LÄN</t>
        </is>
      </c>
      <c r="G196" t="inlineStr">
        <is>
          <t>KALIX</t>
        </is>
      </c>
      <c r="I196" t="n">
        <v>1.5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46982-2025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45929</v>
      </c>
      <c r="E197" s="1" t="n">
        <v>46324</v>
      </c>
      <c r="F197" t="inlineStr">
        <is>
          <t>NORRBOTTENS LÄN</t>
        </is>
      </c>
      <c r="G197" t="inlineStr">
        <is>
          <t>KALIX</t>
        </is>
      </c>
      <c r="I197" t="n">
        <v>0.6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46665-2025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45926</v>
      </c>
      <c r="E198" s="1" t="n">
        <v>46324</v>
      </c>
      <c r="F198" t="inlineStr">
        <is>
          <t>NORRBOTTENS LÄN</t>
        </is>
      </c>
      <c r="G198" t="inlineStr">
        <is>
          <t>KALIX</t>
        </is>
      </c>
      <c r="I198" t="n">
        <v>1.7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47713-2025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45931</v>
      </c>
      <c r="E199" s="1" t="n">
        <v>46324</v>
      </c>
      <c r="F199" t="inlineStr">
        <is>
          <t>NORRBOTTENS LÄN</t>
        </is>
      </c>
      <c r="G199" t="inlineStr">
        <is>
          <t>KALIX</t>
        </is>
      </c>
      <c r="H199" t="inlineStr">
        <is>
          <t>SCA</t>
        </is>
      </c>
      <c r="I199" t="n">
        <v>3.5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35019-2025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45851</v>
      </c>
      <c r="E200" s="1" t="n">
        <v>46324</v>
      </c>
      <c r="F200" t="inlineStr">
        <is>
          <t>NORRBOTTENS LÄN</t>
        </is>
      </c>
      <c r="G200" t="inlineStr">
        <is>
          <t>KALIX</t>
        </is>
      </c>
      <c r="I200" t="n">
        <v>5.6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47436-2025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45930</v>
      </c>
      <c r="E201" s="1" t="n">
        <v>46324</v>
      </c>
      <c r="F201" t="inlineStr">
        <is>
          <t>NORRBOTTENS LÄN</t>
        </is>
      </c>
      <c r="G201" t="inlineStr">
        <is>
          <t>KALIX</t>
        </is>
      </c>
      <c r="H201" t="inlineStr">
        <is>
          <t>SCA</t>
        </is>
      </c>
      <c r="I201" t="n">
        <v>2.4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47375-2025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45930</v>
      </c>
      <c r="E202" s="1" t="n">
        <v>46324</v>
      </c>
      <c r="F202" t="inlineStr">
        <is>
          <t>NORRBOTTENS LÄN</t>
        </is>
      </c>
      <c r="G202" t="inlineStr">
        <is>
          <t>KALIX</t>
        </is>
      </c>
      <c r="H202" t="inlineStr">
        <is>
          <t>SCA</t>
        </is>
      </c>
      <c r="I202" t="n">
        <v>4.4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47983-2025</t>
        </is>
      </c>
      <c r="B203" t="inlineStr">
        <is>
          <t>avverkningsanmälan</t>
        </is>
      </c>
      <c r="C203" t="inlineStr">
        <is>
          <t>Avverkning för annat ändamål</t>
        </is>
      </c>
      <c r="D203" s="1" t="n">
        <v>45932</v>
      </c>
      <c r="E203" s="1" t="n">
        <v>46324</v>
      </c>
      <c r="F203" t="inlineStr">
        <is>
          <t>NORRBOTTENS LÄN</t>
        </is>
      </c>
      <c r="G203" t="inlineStr">
        <is>
          <t>KALIX</t>
        </is>
      </c>
      <c r="H203" t="inlineStr">
        <is>
          <t>Sveaskog</t>
        </is>
      </c>
      <c r="I203" t="n">
        <v>1.6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47811-2025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45932</v>
      </c>
      <c r="E204" s="1" t="n">
        <v>46324</v>
      </c>
      <c r="F204" t="inlineStr">
        <is>
          <t>NORRBOTTENS LÄN</t>
        </is>
      </c>
      <c r="G204" t="inlineStr">
        <is>
          <t>KALIX</t>
        </is>
      </c>
      <c r="I204" t="n">
        <v>1.9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48383-2025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45933</v>
      </c>
      <c r="E205" s="1" t="n">
        <v>46324</v>
      </c>
      <c r="F205" t="inlineStr">
        <is>
          <t>NORRBOTTENS LÄN</t>
        </is>
      </c>
      <c r="G205" t="inlineStr">
        <is>
          <t>KALIX</t>
        </is>
      </c>
      <c r="I205" t="n">
        <v>1.4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58583-2022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44894</v>
      </c>
      <c r="E206" s="1" t="n">
        <v>46324</v>
      </c>
      <c r="F206" t="inlineStr">
        <is>
          <t>NORRBOTTENS LÄN</t>
        </is>
      </c>
      <c r="G206" t="inlineStr">
        <is>
          <t>KALIX</t>
        </is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48521-2025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45936</v>
      </c>
      <c r="E207" s="1" t="n">
        <v>46324</v>
      </c>
      <c r="F207" t="inlineStr">
        <is>
          <t>NORRBOTTENS LÄN</t>
        </is>
      </c>
      <c r="G207" t="inlineStr">
        <is>
          <t>KALIX</t>
        </is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48602-2025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45936</v>
      </c>
      <c r="E208" s="1" t="n">
        <v>46324</v>
      </c>
      <c r="F208" t="inlineStr">
        <is>
          <t>NORRBOTTENS LÄN</t>
        </is>
      </c>
      <c r="G208" t="inlineStr">
        <is>
          <t>KALIX</t>
        </is>
      </c>
      <c r="I208" t="n">
        <v>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48642-2025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45936</v>
      </c>
      <c r="E209" s="1" t="n">
        <v>46324</v>
      </c>
      <c r="F209" t="inlineStr">
        <is>
          <t>NORRBOTTENS LÄN</t>
        </is>
      </c>
      <c r="G209" t="inlineStr">
        <is>
          <t>KALIX</t>
        </is>
      </c>
      <c r="I209" t="n">
        <v>10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36100-2025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45866</v>
      </c>
      <c r="E210" s="1" t="n">
        <v>46324</v>
      </c>
      <c r="F210" t="inlineStr">
        <is>
          <t>NORRBOTTENS LÄN</t>
        </is>
      </c>
      <c r="G210" t="inlineStr">
        <is>
          <t>KALIX</t>
        </is>
      </c>
      <c r="H210" t="inlineStr">
        <is>
          <t>Sveaskog</t>
        </is>
      </c>
      <c r="I210" t="n">
        <v>14.8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48519-2025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45936</v>
      </c>
      <c r="E211" s="1" t="n">
        <v>46324</v>
      </c>
      <c r="F211" t="inlineStr">
        <is>
          <t>NORRBOTTENS LÄN</t>
        </is>
      </c>
      <c r="G211" t="inlineStr">
        <is>
          <t>KALIX</t>
        </is>
      </c>
      <c r="I211" t="n">
        <v>0.4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36229-2025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45867</v>
      </c>
      <c r="E212" s="1" t="n">
        <v>46324</v>
      </c>
      <c r="F212" t="inlineStr">
        <is>
          <t>NORRBOTTENS LÄN</t>
        </is>
      </c>
      <c r="G212" t="inlineStr">
        <is>
          <t>KALIX</t>
        </is>
      </c>
      <c r="H212" t="inlineStr">
        <is>
          <t>Sveaskog</t>
        </is>
      </c>
      <c r="I212" t="n">
        <v>1.3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48644-2025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45936</v>
      </c>
      <c r="E213" s="1" t="n">
        <v>46324</v>
      </c>
      <c r="F213" t="inlineStr">
        <is>
          <t>NORRBOTTENS LÄN</t>
        </is>
      </c>
      <c r="G213" t="inlineStr">
        <is>
          <t>KALIX</t>
        </is>
      </c>
      <c r="I213" t="n">
        <v>0.7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49662-2025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45939</v>
      </c>
      <c r="E214" s="1" t="n">
        <v>46324</v>
      </c>
      <c r="F214" t="inlineStr">
        <is>
          <t>NORRBOTTENS LÄN</t>
        </is>
      </c>
      <c r="G214" t="inlineStr">
        <is>
          <t>KALIX</t>
        </is>
      </c>
      <c r="H214" t="inlineStr">
        <is>
          <t>SCA</t>
        </is>
      </c>
      <c r="I214" t="n">
        <v>5.7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49410-2025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45938</v>
      </c>
      <c r="E215" s="1" t="n">
        <v>46324</v>
      </c>
      <c r="F215" t="inlineStr">
        <is>
          <t>NORRBOTTENS LÄN</t>
        </is>
      </c>
      <c r="G215" t="inlineStr">
        <is>
          <t>KALIX</t>
        </is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59233-2023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45253</v>
      </c>
      <c r="E216" s="1" t="n">
        <v>46324</v>
      </c>
      <c r="F216" t="inlineStr">
        <is>
          <t>NORRBOTTENS LÄN</t>
        </is>
      </c>
      <c r="G216" t="inlineStr">
        <is>
          <t>KALIX</t>
        </is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50194-2025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45943</v>
      </c>
      <c r="E217" s="1" t="n">
        <v>46324</v>
      </c>
      <c r="F217" t="inlineStr">
        <is>
          <t>NORRBOTTENS LÄN</t>
        </is>
      </c>
      <c r="G217" t="inlineStr">
        <is>
          <t>KALIX</t>
        </is>
      </c>
      <c r="I217" t="n">
        <v>4.1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50211-2025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45943</v>
      </c>
      <c r="E218" s="1" t="n">
        <v>46324</v>
      </c>
      <c r="F218" t="inlineStr">
        <is>
          <t>NORRBOTTENS LÄN</t>
        </is>
      </c>
      <c r="G218" t="inlineStr">
        <is>
          <t>KALIX</t>
        </is>
      </c>
      <c r="H218" t="inlineStr">
        <is>
          <t>SCA</t>
        </is>
      </c>
      <c r="I218" t="n">
        <v>5.6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50025-2025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45943</v>
      </c>
      <c r="E219" s="1" t="n">
        <v>46324</v>
      </c>
      <c r="F219" t="inlineStr">
        <is>
          <t>NORRBOTTENS LÄN</t>
        </is>
      </c>
      <c r="G219" t="inlineStr">
        <is>
          <t>KALIX</t>
        </is>
      </c>
      <c r="I219" t="n">
        <v>1.4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49887-2025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45940</v>
      </c>
      <c r="E220" s="1" t="n">
        <v>46324</v>
      </c>
      <c r="F220" t="inlineStr">
        <is>
          <t>NORRBOTTENS LÄN</t>
        </is>
      </c>
      <c r="G220" t="inlineStr">
        <is>
          <t>KALIX</t>
        </is>
      </c>
      <c r="H220" t="inlineStr">
        <is>
          <t>SCA</t>
        </is>
      </c>
      <c r="I220" t="n">
        <v>1.7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50044-2025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45943</v>
      </c>
      <c r="E221" s="1" t="n">
        <v>46324</v>
      </c>
      <c r="F221" t="inlineStr">
        <is>
          <t>NORRBOTTENS LÄN</t>
        </is>
      </c>
      <c r="G221" t="inlineStr">
        <is>
          <t>KALIX</t>
        </is>
      </c>
      <c r="I221" t="n">
        <v>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50595-2025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45945</v>
      </c>
      <c r="E222" s="1" t="n">
        <v>46324</v>
      </c>
      <c r="F222" t="inlineStr">
        <is>
          <t>NORRBOTTENS LÄN</t>
        </is>
      </c>
      <c r="G222" t="inlineStr">
        <is>
          <t>KALIX</t>
        </is>
      </c>
      <c r="I222" t="n">
        <v>10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50615-2025</t>
        </is>
      </c>
      <c r="B223" t="inlineStr">
        <is>
          <t>avverkningsanmälan</t>
        </is>
      </c>
      <c r="C223" t="inlineStr">
        <is>
          <t>Föryngringsavverkning</t>
        </is>
      </c>
      <c r="D223" s="1" t="n">
        <v>45945</v>
      </c>
      <c r="E223" s="1" t="n">
        <v>46324</v>
      </c>
      <c r="F223" t="inlineStr">
        <is>
          <t>NORRBOTTENS LÄN</t>
        </is>
      </c>
      <c r="G223" t="inlineStr">
        <is>
          <t>KALIX</t>
        </is>
      </c>
      <c r="I223" t="n">
        <v>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50605-2025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45945</v>
      </c>
      <c r="E224" s="1" t="n">
        <v>46324</v>
      </c>
      <c r="F224" t="inlineStr">
        <is>
          <t>NORRBOTTENS LÄN</t>
        </is>
      </c>
      <c r="G224" t="inlineStr">
        <is>
          <t>KALIX</t>
        </is>
      </c>
      <c r="I224" t="n">
        <v>3.6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50610-2025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45945</v>
      </c>
      <c r="E225" s="1" t="n">
        <v>46324</v>
      </c>
      <c r="F225" t="inlineStr">
        <is>
          <t>NORRBOTTENS LÄN</t>
        </is>
      </c>
      <c r="G225" t="inlineStr">
        <is>
          <t>KALIX</t>
        </is>
      </c>
      <c r="I225" t="n">
        <v>0.9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50495-2025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45945</v>
      </c>
      <c r="E226" s="1" t="n">
        <v>46324</v>
      </c>
      <c r="F226" t="inlineStr">
        <is>
          <t>NORRBOTTENS LÄN</t>
        </is>
      </c>
      <c r="G226" t="inlineStr">
        <is>
          <t>KALIX</t>
        </is>
      </c>
      <c r="I226" t="n">
        <v>3.3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14404-2023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45009</v>
      </c>
      <c r="E227" s="1" t="n">
        <v>46324</v>
      </c>
      <c r="F227" t="inlineStr">
        <is>
          <t>NORRBOTTENS LÄN</t>
        </is>
      </c>
      <c r="G227" t="inlineStr">
        <is>
          <t>KALIX</t>
        </is>
      </c>
      <c r="I227" t="n">
        <v>1.9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50899-2025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45946</v>
      </c>
      <c r="E228" s="1" t="n">
        <v>46324</v>
      </c>
      <c r="F228" t="inlineStr">
        <is>
          <t>NORRBOTTENS LÄN</t>
        </is>
      </c>
      <c r="G228" t="inlineStr">
        <is>
          <t>KALIX</t>
        </is>
      </c>
      <c r="I228" t="n">
        <v>5.2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40032-2024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45553</v>
      </c>
      <c r="E229" s="1" t="n">
        <v>46324</v>
      </c>
      <c r="F229" t="inlineStr">
        <is>
          <t>NORRBOTTENS LÄN</t>
        </is>
      </c>
      <c r="G229" t="inlineStr">
        <is>
          <t>KALIX</t>
        </is>
      </c>
      <c r="I229" t="n">
        <v>0.6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47761-2025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45931</v>
      </c>
      <c r="E230" s="1" t="n">
        <v>46324</v>
      </c>
      <c r="F230" t="inlineStr">
        <is>
          <t>NORRBOTTENS LÄN</t>
        </is>
      </c>
      <c r="G230" t="inlineStr">
        <is>
          <t>KALIX</t>
        </is>
      </c>
      <c r="I230" t="n">
        <v>3.1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50886-2025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45946</v>
      </c>
      <c r="E231" s="1" t="n">
        <v>46324</v>
      </c>
      <c r="F231" t="inlineStr">
        <is>
          <t>NORRBOTTENS LÄN</t>
        </is>
      </c>
      <c r="G231" t="inlineStr">
        <is>
          <t>KALIX</t>
        </is>
      </c>
      <c r="H231" t="inlineStr">
        <is>
          <t>SCA</t>
        </is>
      </c>
      <c r="I231" t="n">
        <v>2.5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50888-2025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45946</v>
      </c>
      <c r="E232" s="1" t="n">
        <v>46324</v>
      </c>
      <c r="F232" t="inlineStr">
        <is>
          <t>NORRBOTTENS LÄN</t>
        </is>
      </c>
      <c r="G232" t="inlineStr">
        <is>
          <t>KALIX</t>
        </is>
      </c>
      <c r="H232" t="inlineStr">
        <is>
          <t>SCA</t>
        </is>
      </c>
      <c r="I232" t="n">
        <v>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263-2025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45660</v>
      </c>
      <c r="E233" s="1" t="n">
        <v>46324</v>
      </c>
      <c r="F233" t="inlineStr">
        <is>
          <t>NORRBOTTENS LÄN</t>
        </is>
      </c>
      <c r="G233" t="inlineStr">
        <is>
          <t>KALIX</t>
        </is>
      </c>
      <c r="I233" t="n">
        <v>0.3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35674-2025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45859</v>
      </c>
      <c r="E234" s="1" t="n">
        <v>46324</v>
      </c>
      <c r="F234" t="inlineStr">
        <is>
          <t>NORRBOTTENS LÄN</t>
        </is>
      </c>
      <c r="G234" t="inlineStr">
        <is>
          <t>KALIX</t>
        </is>
      </c>
      <c r="I234" t="n">
        <v>2.2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67004-2021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44522</v>
      </c>
      <c r="E235" s="1" t="n">
        <v>46324</v>
      </c>
      <c r="F235" t="inlineStr">
        <is>
          <t>NORRBOTTENS LÄN</t>
        </is>
      </c>
      <c r="G235" t="inlineStr">
        <is>
          <t>KALIX</t>
        </is>
      </c>
      <c r="I235" t="n">
        <v>4.2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51477-2025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45950</v>
      </c>
      <c r="E236" s="1" t="n">
        <v>46324</v>
      </c>
      <c r="F236" t="inlineStr">
        <is>
          <t>NORRBOTTENS LÄN</t>
        </is>
      </c>
      <c r="G236" t="inlineStr">
        <is>
          <t>KALIX</t>
        </is>
      </c>
      <c r="H236" t="inlineStr">
        <is>
          <t>SCA</t>
        </is>
      </c>
      <c r="I236" t="n">
        <v>3.6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51498-2025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45950</v>
      </c>
      <c r="E237" s="1" t="n">
        <v>46324</v>
      </c>
      <c r="F237" t="inlineStr">
        <is>
          <t>NORRBOTTENS LÄN</t>
        </is>
      </c>
      <c r="G237" t="inlineStr">
        <is>
          <t>KALIX</t>
        </is>
      </c>
      <c r="I237" t="n">
        <v>0.7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51479-2025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45950</v>
      </c>
      <c r="E238" s="1" t="n">
        <v>46324</v>
      </c>
      <c r="F238" t="inlineStr">
        <is>
          <t>NORRBOTTENS LÄN</t>
        </is>
      </c>
      <c r="G238" t="inlineStr">
        <is>
          <t>KALIX</t>
        </is>
      </c>
      <c r="H238" t="inlineStr">
        <is>
          <t>SCA</t>
        </is>
      </c>
      <c r="I238" t="n">
        <v>1.4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51485-2025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45950</v>
      </c>
      <c r="E239" s="1" t="n">
        <v>46324</v>
      </c>
      <c r="F239" t="inlineStr">
        <is>
          <t>NORRBOTTENS LÄN</t>
        </is>
      </c>
      <c r="G239" t="inlineStr">
        <is>
          <t>KALIX</t>
        </is>
      </c>
      <c r="I239" t="n">
        <v>2.5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62165-2023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45266</v>
      </c>
      <c r="E240" s="1" t="n">
        <v>46324</v>
      </c>
      <c r="F240" t="inlineStr">
        <is>
          <t>NORRBOTTENS LÄN</t>
        </is>
      </c>
      <c r="G240" t="inlineStr">
        <is>
          <t>KALIX</t>
        </is>
      </c>
      <c r="I240" t="n">
        <v>9.5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62166-2023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45266</v>
      </c>
      <c r="E241" s="1" t="n">
        <v>46324</v>
      </c>
      <c r="F241" t="inlineStr">
        <is>
          <t>NORRBOTTENS LÄN</t>
        </is>
      </c>
      <c r="G241" t="inlineStr">
        <is>
          <t>KALIX</t>
        </is>
      </c>
      <c r="I241" t="n">
        <v>4.4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51787-2025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45951</v>
      </c>
      <c r="E242" s="1" t="n">
        <v>46324</v>
      </c>
      <c r="F242" t="inlineStr">
        <is>
          <t>NORRBOTTENS LÄN</t>
        </is>
      </c>
      <c r="G242" t="inlineStr">
        <is>
          <t>KALIX</t>
        </is>
      </c>
      <c r="I242" t="n">
        <v>0.8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51496-2025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45950</v>
      </c>
      <c r="E243" s="1" t="n">
        <v>46324</v>
      </c>
      <c r="F243" t="inlineStr">
        <is>
          <t>NORRBOTTENS LÄN</t>
        </is>
      </c>
      <c r="G243" t="inlineStr">
        <is>
          <t>KALIX</t>
        </is>
      </c>
      <c r="I243" t="n">
        <v>1.7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33605-2025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45841</v>
      </c>
      <c r="E244" s="1" t="n">
        <v>46324</v>
      </c>
      <c r="F244" t="inlineStr">
        <is>
          <t>NORRBOTTENS LÄN</t>
        </is>
      </c>
      <c r="G244" t="inlineStr">
        <is>
          <t>KALIX</t>
        </is>
      </c>
      <c r="I244" t="n">
        <v>1.1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52058-2025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45952</v>
      </c>
      <c r="E245" s="1" t="n">
        <v>46324</v>
      </c>
      <c r="F245" t="inlineStr">
        <is>
          <t>NORRBOTTENS LÄN</t>
        </is>
      </c>
      <c r="G245" t="inlineStr">
        <is>
          <t>KALIX</t>
        </is>
      </c>
      <c r="I245" t="n">
        <v>1.4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31579-2023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45117</v>
      </c>
      <c r="E246" s="1" t="n">
        <v>46324</v>
      </c>
      <c r="F246" t="inlineStr">
        <is>
          <t>NORRBOTTENS LÄN</t>
        </is>
      </c>
      <c r="G246" t="inlineStr">
        <is>
          <t>KALIX</t>
        </is>
      </c>
      <c r="H246" t="inlineStr">
        <is>
          <t>Sveaskog</t>
        </is>
      </c>
      <c r="I246" t="n">
        <v>1.2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41132-2023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45173</v>
      </c>
      <c r="E247" s="1" t="n">
        <v>46324</v>
      </c>
      <c r="F247" t="inlineStr">
        <is>
          <t>NORRBOTTENS LÄN</t>
        </is>
      </c>
      <c r="G247" t="inlineStr">
        <is>
          <t>KALIX</t>
        </is>
      </c>
      <c r="I247" t="n">
        <v>0.5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285-2024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45295</v>
      </c>
      <c r="E248" s="1" t="n">
        <v>46324</v>
      </c>
      <c r="F248" t="inlineStr">
        <is>
          <t>NORRBOTTENS LÄN</t>
        </is>
      </c>
      <c r="G248" t="inlineStr">
        <is>
          <t>KALIX</t>
        </is>
      </c>
      <c r="H248" t="inlineStr">
        <is>
          <t>Sveaskog</t>
        </is>
      </c>
      <c r="I248" t="n">
        <v>0.6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52008-2025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45952</v>
      </c>
      <c r="E249" s="1" t="n">
        <v>46324</v>
      </c>
      <c r="F249" t="inlineStr">
        <is>
          <t>NORRBOTTENS LÄN</t>
        </is>
      </c>
      <c r="G249" t="inlineStr">
        <is>
          <t>KALIX</t>
        </is>
      </c>
      <c r="I249" t="n">
        <v>1.9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8802-2025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45712</v>
      </c>
      <c r="E250" s="1" t="n">
        <v>46324</v>
      </c>
      <c r="F250" t="inlineStr">
        <is>
          <t>NORRBOTTENS LÄN</t>
        </is>
      </c>
      <c r="G250" t="inlineStr">
        <is>
          <t>KALIX</t>
        </is>
      </c>
      <c r="I250" t="n">
        <v>1.9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3169-2025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45679</v>
      </c>
      <c r="E251" s="1" t="n">
        <v>46324</v>
      </c>
      <c r="F251" t="inlineStr">
        <is>
          <t>NORRBOTTENS LÄN</t>
        </is>
      </c>
      <c r="G251" t="inlineStr">
        <is>
          <t>KALIX</t>
        </is>
      </c>
      <c r="I251" t="n">
        <v>1.2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4405-2023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44956</v>
      </c>
      <c r="E252" s="1" t="n">
        <v>46324</v>
      </c>
      <c r="F252" t="inlineStr">
        <is>
          <t>NORRBOTTENS LÄN</t>
        </is>
      </c>
      <c r="G252" t="inlineStr">
        <is>
          <t>KALIX</t>
        </is>
      </c>
      <c r="I252" t="n">
        <v>2.6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26675-2024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45470</v>
      </c>
      <c r="E253" s="1" t="n">
        <v>46324</v>
      </c>
      <c r="F253" t="inlineStr">
        <is>
          <t>NORRBOTTENS LÄN</t>
        </is>
      </c>
      <c r="G253" t="inlineStr">
        <is>
          <t>KALIX</t>
        </is>
      </c>
      <c r="I253" t="n">
        <v>0.4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30005-2022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44756</v>
      </c>
      <c r="E254" s="1" t="n">
        <v>46324</v>
      </c>
      <c r="F254" t="inlineStr">
        <is>
          <t>NORRBOTTENS LÄN</t>
        </is>
      </c>
      <c r="G254" t="inlineStr">
        <is>
          <t>KALIX</t>
        </is>
      </c>
      <c r="I254" t="n">
        <v>8.1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37918-2025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45881</v>
      </c>
      <c r="E255" s="1" t="n">
        <v>46324</v>
      </c>
      <c r="F255" t="inlineStr">
        <is>
          <t>NORRBOTTENS LÄN</t>
        </is>
      </c>
      <c r="G255" t="inlineStr">
        <is>
          <t>KALIX</t>
        </is>
      </c>
      <c r="H255" t="inlineStr">
        <is>
          <t>SCA</t>
        </is>
      </c>
      <c r="I255" t="n">
        <v>1.6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37924-2025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45881</v>
      </c>
      <c r="E256" s="1" t="n">
        <v>46324</v>
      </c>
      <c r="F256" t="inlineStr">
        <is>
          <t>NORRBOTTENS LÄN</t>
        </is>
      </c>
      <c r="G256" t="inlineStr">
        <is>
          <t>KALIX</t>
        </is>
      </c>
      <c r="H256" t="inlineStr">
        <is>
          <t>SCA</t>
        </is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17598-2024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45415</v>
      </c>
      <c r="E257" s="1" t="n">
        <v>46324</v>
      </c>
      <c r="F257" t="inlineStr">
        <is>
          <t>NORRBOTTENS LÄN</t>
        </is>
      </c>
      <c r="G257" t="inlineStr">
        <is>
          <t>KALIX</t>
        </is>
      </c>
      <c r="H257" t="inlineStr">
        <is>
          <t>SCA</t>
        </is>
      </c>
      <c r="I257" t="n">
        <v>3.2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17599-2024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45415</v>
      </c>
      <c r="E258" s="1" t="n">
        <v>46324</v>
      </c>
      <c r="F258" t="inlineStr">
        <is>
          <t>NORRBOTTENS LÄN</t>
        </is>
      </c>
      <c r="G258" t="inlineStr">
        <is>
          <t>KALIX</t>
        </is>
      </c>
      <c r="H258" t="inlineStr">
        <is>
          <t>SCA</t>
        </is>
      </c>
      <c r="I258" t="n">
        <v>8.1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58591-2022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44894</v>
      </c>
      <c r="E259" s="1" t="n">
        <v>46324</v>
      </c>
      <c r="F259" t="inlineStr">
        <is>
          <t>NORRBOTTENS LÄN</t>
        </is>
      </c>
      <c r="G259" t="inlineStr">
        <is>
          <t>KALIX</t>
        </is>
      </c>
      <c r="I259" t="n">
        <v>0.5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21000-2026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46142</v>
      </c>
      <c r="E260" s="1" t="n">
        <v>46324</v>
      </c>
      <c r="F260" t="inlineStr">
        <is>
          <t>NORRBOTTENS LÄN</t>
        </is>
      </c>
      <c r="G260" t="inlineStr">
        <is>
          <t>KALIX</t>
        </is>
      </c>
      <c r="H260" t="inlineStr">
        <is>
          <t>Sveaskog</t>
        </is>
      </c>
      <c r="I260" t="n">
        <v>6.6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59884-2024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45641</v>
      </c>
      <c r="E261" s="1" t="n">
        <v>46324</v>
      </c>
      <c r="F261" t="inlineStr">
        <is>
          <t>NORRBOTTENS LÄN</t>
        </is>
      </c>
      <c r="G261" t="inlineStr">
        <is>
          <t>KALIX</t>
        </is>
      </c>
      <c r="I261" t="n">
        <v>4.1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54377-2025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45965</v>
      </c>
      <c r="E262" s="1" t="n">
        <v>46324</v>
      </c>
      <c r="F262" t="inlineStr">
        <is>
          <t>NORRBOTTENS LÄN</t>
        </is>
      </c>
      <c r="G262" t="inlineStr">
        <is>
          <t>KALIX</t>
        </is>
      </c>
      <c r="I262" t="n">
        <v>2.8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21169-2026</t>
        </is>
      </c>
      <c r="B263" t="inlineStr">
        <is>
          <t>avverkningsanmälan</t>
        </is>
      </c>
      <c r="C263" t="inlineStr">
        <is>
          <t>Avverkning för annat ändamål</t>
        </is>
      </c>
      <c r="D263" s="1" t="n">
        <v>46146</v>
      </c>
      <c r="E263" s="1" t="n">
        <v>46324</v>
      </c>
      <c r="F263" t="inlineStr">
        <is>
          <t>NORRBOTTENS LÄN</t>
        </is>
      </c>
      <c r="G263" t="inlineStr">
        <is>
          <t>KALIX</t>
        </is>
      </c>
      <c r="I263" t="n">
        <v>0.7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54419-2025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45965</v>
      </c>
      <c r="E264" s="1" t="n">
        <v>46324</v>
      </c>
      <c r="F264" t="inlineStr">
        <is>
          <t>NORRBOTTENS LÄN</t>
        </is>
      </c>
      <c r="G264" t="inlineStr">
        <is>
          <t>KALIX</t>
        </is>
      </c>
      <c r="I264" t="n">
        <v>1.6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54202-2025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45964</v>
      </c>
      <c r="E265" s="1" t="n">
        <v>46324</v>
      </c>
      <c r="F265" t="inlineStr">
        <is>
          <t>NORRBOTTENS LÄN</t>
        </is>
      </c>
      <c r="G265" t="inlineStr">
        <is>
          <t>KALIX</t>
        </is>
      </c>
      <c r="I265" t="n">
        <v>4.2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58296-2022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44901</v>
      </c>
      <c r="E266" s="1" t="n">
        <v>46324</v>
      </c>
      <c r="F266" t="inlineStr">
        <is>
          <t>NORRBOTTENS LÄN</t>
        </is>
      </c>
      <c r="G266" t="inlineStr">
        <is>
          <t>KALIX</t>
        </is>
      </c>
      <c r="I266" t="n">
        <v>0.7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21125-2026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46146</v>
      </c>
      <c r="E267" s="1" t="n">
        <v>46324</v>
      </c>
      <c r="F267" t="inlineStr">
        <is>
          <t>NORRBOTTENS LÄN</t>
        </is>
      </c>
      <c r="G267" t="inlineStr">
        <is>
          <t>KALIX</t>
        </is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31512-2024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45505</v>
      </c>
      <c r="E268" s="1" t="n">
        <v>46324</v>
      </c>
      <c r="F268" t="inlineStr">
        <is>
          <t>NORRBOTTENS LÄN</t>
        </is>
      </c>
      <c r="G268" t="inlineStr">
        <is>
          <t>KALIX</t>
        </is>
      </c>
      <c r="I268" t="n">
        <v>7.8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54902-2025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45967</v>
      </c>
      <c r="E269" s="1" t="n">
        <v>46324</v>
      </c>
      <c r="F269" t="inlineStr">
        <is>
          <t>NORRBOTTENS LÄN</t>
        </is>
      </c>
      <c r="G269" t="inlineStr">
        <is>
          <t>KALIX</t>
        </is>
      </c>
      <c r="I269" t="n">
        <v>2.5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55415-2025</t>
        </is>
      </c>
      <c r="B270" t="inlineStr">
        <is>
          <t>avverkningsanmälan</t>
        </is>
      </c>
      <c r="C270" t="inlineStr">
        <is>
          <t>Föryngringsavverkning</t>
        </is>
      </c>
      <c r="D270" s="1" t="n">
        <v>45971</v>
      </c>
      <c r="E270" s="1" t="n">
        <v>46324</v>
      </c>
      <c r="F270" t="inlineStr">
        <is>
          <t>NORRBOTTENS LÄN</t>
        </is>
      </c>
      <c r="G270" t="inlineStr">
        <is>
          <t>KALIX</t>
        </is>
      </c>
      <c r="I270" t="n">
        <v>5.7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55391-2025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45971</v>
      </c>
      <c r="E271" s="1" t="n">
        <v>46324</v>
      </c>
      <c r="F271" t="inlineStr">
        <is>
          <t>NORRBOTTENS LÄN</t>
        </is>
      </c>
      <c r="G271" t="inlineStr">
        <is>
          <t>KALIX</t>
        </is>
      </c>
      <c r="I271" t="n">
        <v>2.8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55414-2025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45971</v>
      </c>
      <c r="E272" s="1" t="n">
        <v>46324</v>
      </c>
      <c r="F272" t="inlineStr">
        <is>
          <t>NORRBOTTENS LÄN</t>
        </is>
      </c>
      <c r="G272" t="inlineStr">
        <is>
          <t>KALIX</t>
        </is>
      </c>
      <c r="I272" t="n">
        <v>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55396-2025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45971</v>
      </c>
      <c r="E273" s="1" t="n">
        <v>46324</v>
      </c>
      <c r="F273" t="inlineStr">
        <is>
          <t>NORRBOTTENS LÄN</t>
        </is>
      </c>
      <c r="G273" t="inlineStr">
        <is>
          <t>KALIX</t>
        </is>
      </c>
      <c r="I273" t="n">
        <v>13.9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20083-2023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45054</v>
      </c>
      <c r="E274" s="1" t="n">
        <v>46324</v>
      </c>
      <c r="F274" t="inlineStr">
        <is>
          <t>NORRBOTTENS LÄN</t>
        </is>
      </c>
      <c r="G274" t="inlineStr">
        <is>
          <t>KALIX</t>
        </is>
      </c>
      <c r="I274" t="n">
        <v>1.1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20084-2023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45054</v>
      </c>
      <c r="E275" s="1" t="n">
        <v>46324</v>
      </c>
      <c r="F275" t="inlineStr">
        <is>
          <t>NORRBOTTENS LÄN</t>
        </is>
      </c>
      <c r="G275" t="inlineStr">
        <is>
          <t>KALIX</t>
        </is>
      </c>
      <c r="I275" t="n">
        <v>1.1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57293-2025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45979</v>
      </c>
      <c r="E276" s="1" t="n">
        <v>46324</v>
      </c>
      <c r="F276" t="inlineStr">
        <is>
          <t>NORRBOTTENS LÄN</t>
        </is>
      </c>
      <c r="G276" t="inlineStr">
        <is>
          <t>KALIX</t>
        </is>
      </c>
      <c r="I276" t="n">
        <v>0.2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27776-2025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45816</v>
      </c>
      <c r="E277" s="1" t="n">
        <v>46324</v>
      </c>
      <c r="F277" t="inlineStr">
        <is>
          <t>NORRBOTTENS LÄN</t>
        </is>
      </c>
      <c r="G277" t="inlineStr">
        <is>
          <t>KALIX</t>
        </is>
      </c>
      <c r="I277" t="n">
        <v>7.7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62983-2025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46009</v>
      </c>
      <c r="E278" s="1" t="n">
        <v>46324</v>
      </c>
      <c r="F278" t="inlineStr">
        <is>
          <t>NORRBOTTENS LÄN</t>
        </is>
      </c>
      <c r="G278" t="inlineStr">
        <is>
          <t>KALIX</t>
        </is>
      </c>
      <c r="I278" t="n">
        <v>1.6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58656-2025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45986</v>
      </c>
      <c r="E279" s="1" t="n">
        <v>46324</v>
      </c>
      <c r="F279" t="inlineStr">
        <is>
          <t>NORRBOTTENS LÄN</t>
        </is>
      </c>
      <c r="G279" t="inlineStr">
        <is>
          <t>KALIX</t>
        </is>
      </c>
      <c r="H279" t="inlineStr">
        <is>
          <t>Kommuner</t>
        </is>
      </c>
      <c r="I279" t="n">
        <v>1.1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61885-2025</t>
        </is>
      </c>
      <c r="B280" t="inlineStr">
        <is>
          <t>avverkningsanmälan</t>
        </is>
      </c>
      <c r="C280" t="inlineStr">
        <is>
          <t>Föryngringsavverkning</t>
        </is>
      </c>
      <c r="D280" s="1" t="n">
        <v>46003</v>
      </c>
      <c r="E280" s="1" t="n">
        <v>46324</v>
      </c>
      <c r="F280" t="inlineStr">
        <is>
          <t>NORRBOTTENS LÄN</t>
        </is>
      </c>
      <c r="G280" t="inlineStr">
        <is>
          <t>KALIX</t>
        </is>
      </c>
      <c r="I280" t="n">
        <v>2.3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57676-2025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45980</v>
      </c>
      <c r="E281" s="1" t="n">
        <v>46324</v>
      </c>
      <c r="F281" t="inlineStr">
        <is>
          <t>NORRBOTTENS LÄN</t>
        </is>
      </c>
      <c r="G281" t="inlineStr">
        <is>
          <t>KALIX</t>
        </is>
      </c>
      <c r="I281" t="n">
        <v>23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57600-2025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45981</v>
      </c>
      <c r="E282" s="1" t="n">
        <v>46324</v>
      </c>
      <c r="F282" t="inlineStr">
        <is>
          <t>NORRBOTTENS LÄN</t>
        </is>
      </c>
      <c r="G282" t="inlineStr">
        <is>
          <t>KALIX</t>
        </is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22421-2026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46154</v>
      </c>
      <c r="E283" s="1" t="n">
        <v>46324</v>
      </c>
      <c r="F283" t="inlineStr">
        <is>
          <t>NORRBOTTENS LÄN</t>
        </is>
      </c>
      <c r="G283" t="inlineStr">
        <is>
          <t>KALIX</t>
        </is>
      </c>
      <c r="H283" t="inlineStr">
        <is>
          <t>SCA</t>
        </is>
      </c>
      <c r="I283" t="n">
        <v>1.3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22336-2026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46154</v>
      </c>
      <c r="E284" s="1" t="n">
        <v>46324</v>
      </c>
      <c r="F284" t="inlineStr">
        <is>
          <t>NORRBOTTENS LÄN</t>
        </is>
      </c>
      <c r="G284" t="inlineStr">
        <is>
          <t>KALIX</t>
        </is>
      </c>
      <c r="I284" t="n">
        <v>5.1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61909-2025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46003</v>
      </c>
      <c r="E285" s="1" t="n">
        <v>46324</v>
      </c>
      <c r="F285" t="inlineStr">
        <is>
          <t>NORRBOTTENS LÄN</t>
        </is>
      </c>
      <c r="G285" t="inlineStr">
        <is>
          <t>KALIX</t>
        </is>
      </c>
      <c r="I285" t="n">
        <v>0.7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57656-2025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45981</v>
      </c>
      <c r="E286" s="1" t="n">
        <v>46324</v>
      </c>
      <c r="F286" t="inlineStr">
        <is>
          <t>NORRBOTTENS LÄN</t>
        </is>
      </c>
      <c r="G286" t="inlineStr">
        <is>
          <t>KALIX</t>
        </is>
      </c>
      <c r="H286" t="inlineStr">
        <is>
          <t>SCA</t>
        </is>
      </c>
      <c r="I286" t="n">
        <v>1.8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22528-2026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46155</v>
      </c>
      <c r="E287" s="1" t="n">
        <v>46324</v>
      </c>
      <c r="F287" t="inlineStr">
        <is>
          <t>NORRBOTTENS LÄN</t>
        </is>
      </c>
      <c r="G287" t="inlineStr">
        <is>
          <t>KALIX</t>
        </is>
      </c>
      <c r="I287" t="n">
        <v>2.9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57675-2025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45980</v>
      </c>
      <c r="E288" s="1" t="n">
        <v>46324</v>
      </c>
      <c r="F288" t="inlineStr">
        <is>
          <t>NORRBOTTENS LÄN</t>
        </is>
      </c>
      <c r="G288" t="inlineStr">
        <is>
          <t>KALIX</t>
        </is>
      </c>
      <c r="I288" t="n">
        <v>0.9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58417-2025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45985</v>
      </c>
      <c r="E289" s="1" t="n">
        <v>46324</v>
      </c>
      <c r="F289" t="inlineStr">
        <is>
          <t>NORRBOTTENS LÄN</t>
        </is>
      </c>
      <c r="G289" t="inlineStr">
        <is>
          <t>KALIX</t>
        </is>
      </c>
      <c r="H289" t="inlineStr">
        <is>
          <t>Kommuner</t>
        </is>
      </c>
      <c r="I289" t="n">
        <v>1.7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58232-2025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45985</v>
      </c>
      <c r="E290" s="1" t="n">
        <v>46324</v>
      </c>
      <c r="F290" t="inlineStr">
        <is>
          <t>NORRBOTTENS LÄN</t>
        </is>
      </c>
      <c r="G290" t="inlineStr">
        <is>
          <t>KALIX</t>
        </is>
      </c>
      <c r="I290" t="n">
        <v>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22422-2026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46154</v>
      </c>
      <c r="E291" s="1" t="n">
        <v>46324</v>
      </c>
      <c r="F291" t="inlineStr">
        <is>
          <t>NORRBOTTENS LÄN</t>
        </is>
      </c>
      <c r="G291" t="inlineStr">
        <is>
          <t>KALIX</t>
        </is>
      </c>
      <c r="H291" t="inlineStr">
        <is>
          <t>SCA</t>
        </is>
      </c>
      <c r="I291" t="n">
        <v>2.4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22341-2026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46154</v>
      </c>
      <c r="E292" s="1" t="n">
        <v>46324</v>
      </c>
      <c r="F292" t="inlineStr">
        <is>
          <t>NORRBOTTENS LÄN</t>
        </is>
      </c>
      <c r="G292" t="inlineStr">
        <is>
          <t>KALIX</t>
        </is>
      </c>
      <c r="I292" t="n">
        <v>1.5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11327-2026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46081</v>
      </c>
      <c r="E293" s="1" t="n">
        <v>46324</v>
      </c>
      <c r="F293" t="inlineStr">
        <is>
          <t>NORRBOTTENS LÄN</t>
        </is>
      </c>
      <c r="G293" t="inlineStr">
        <is>
          <t>KALIX</t>
        </is>
      </c>
      <c r="I293" t="n">
        <v>0.8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58208-2025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45985</v>
      </c>
      <c r="E294" s="1" t="n">
        <v>46324</v>
      </c>
      <c r="F294" t="inlineStr">
        <is>
          <t>NORRBOTTENS LÄN</t>
        </is>
      </c>
      <c r="G294" t="inlineStr">
        <is>
          <t>KALIX</t>
        </is>
      </c>
      <c r="I294" t="n">
        <v>1.1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7189-2023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44970</v>
      </c>
      <c r="E295" s="1" t="n">
        <v>46324</v>
      </c>
      <c r="F295" t="inlineStr">
        <is>
          <t>NORRBOTTENS LÄN</t>
        </is>
      </c>
      <c r="G295" t="inlineStr">
        <is>
          <t>KALIX</t>
        </is>
      </c>
      <c r="I295" t="n">
        <v>4.1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14047-2024</t>
        </is>
      </c>
      <c r="B296" t="inlineStr">
        <is>
          <t>avverkningsanmälan</t>
        </is>
      </c>
      <c r="C296" t="inlineStr">
        <is>
          <t>Föryngringsavverkning</t>
        </is>
      </c>
      <c r="D296" s="1" t="n">
        <v>45392</v>
      </c>
      <c r="E296" s="1" t="n">
        <v>46324</v>
      </c>
      <c r="F296" t="inlineStr">
        <is>
          <t>NORRBOTTENS LÄN</t>
        </is>
      </c>
      <c r="G296" t="inlineStr">
        <is>
          <t>KALIX</t>
        </is>
      </c>
      <c r="I296" t="n">
        <v>0.9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23007-2026</t>
        </is>
      </c>
      <c r="B297" t="inlineStr">
        <is>
          <t>avverkningsanmälan</t>
        </is>
      </c>
      <c r="C297" t="inlineStr">
        <is>
          <t>Föryngringsavverkning</t>
        </is>
      </c>
      <c r="D297" s="1" t="n">
        <v>46160</v>
      </c>
      <c r="E297" s="1" t="n">
        <v>46324</v>
      </c>
      <c r="F297" t="inlineStr">
        <is>
          <t>NORRBOTTENS LÄN</t>
        </is>
      </c>
      <c r="G297" t="inlineStr">
        <is>
          <t>KALIX</t>
        </is>
      </c>
      <c r="I297" t="n">
        <v>5.8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59261-2025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45988</v>
      </c>
      <c r="E298" s="1" t="n">
        <v>46324</v>
      </c>
      <c r="F298" t="inlineStr">
        <is>
          <t>NORRBOTTENS LÄN</t>
        </is>
      </c>
      <c r="G298" t="inlineStr">
        <is>
          <t>KALIX</t>
        </is>
      </c>
      <c r="I298" t="n">
        <v>2.3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22984-2026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46160</v>
      </c>
      <c r="E299" s="1" t="n">
        <v>46324</v>
      </c>
      <c r="F299" t="inlineStr">
        <is>
          <t>NORRBOTTENS LÄN</t>
        </is>
      </c>
      <c r="G299" t="inlineStr">
        <is>
          <t>KALIX</t>
        </is>
      </c>
      <c r="I299" t="n">
        <v>14.8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23034-2026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46161</v>
      </c>
      <c r="E300" s="1" t="n">
        <v>46324</v>
      </c>
      <c r="F300" t="inlineStr">
        <is>
          <t>NORRBOTTENS LÄN</t>
        </is>
      </c>
      <c r="G300" t="inlineStr">
        <is>
          <t>KALIX</t>
        </is>
      </c>
      <c r="I300" t="n">
        <v>3.3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19155-2023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45044</v>
      </c>
      <c r="E301" s="1" t="n">
        <v>46324</v>
      </c>
      <c r="F301" t="inlineStr">
        <is>
          <t>NORRBOTTENS LÄN</t>
        </is>
      </c>
      <c r="G301" t="inlineStr">
        <is>
          <t>KALIX</t>
        </is>
      </c>
      <c r="I301" t="n">
        <v>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48063-2023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45204</v>
      </c>
      <c r="E302" s="1" t="n">
        <v>46324</v>
      </c>
      <c r="F302" t="inlineStr">
        <is>
          <t>NORRBOTTENS LÄN</t>
        </is>
      </c>
      <c r="G302" t="inlineStr">
        <is>
          <t>KALIX</t>
        </is>
      </c>
      <c r="I302" t="n">
        <v>2.1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59262-2025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45988</v>
      </c>
      <c r="E303" s="1" t="n">
        <v>46324</v>
      </c>
      <c r="F303" t="inlineStr">
        <is>
          <t>NORRBOTTENS LÄN</t>
        </is>
      </c>
      <c r="G303" t="inlineStr">
        <is>
          <t>KALIX</t>
        </is>
      </c>
      <c r="I303" t="n">
        <v>2.3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59980-2025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45993</v>
      </c>
      <c r="E304" s="1" t="n">
        <v>46324</v>
      </c>
      <c r="F304" t="inlineStr">
        <is>
          <t>NORRBOTTENS LÄN</t>
        </is>
      </c>
      <c r="G304" t="inlineStr">
        <is>
          <t>KALIX</t>
        </is>
      </c>
      <c r="I304" t="n">
        <v>6.8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23540-2026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46163</v>
      </c>
      <c r="E305" s="1" t="n">
        <v>46324</v>
      </c>
      <c r="F305" t="inlineStr">
        <is>
          <t>NORRBOTTENS LÄN</t>
        </is>
      </c>
      <c r="G305" t="inlineStr">
        <is>
          <t>KALIX</t>
        </is>
      </c>
      <c r="I305" t="n">
        <v>2.9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59975-2025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45993</v>
      </c>
      <c r="E306" s="1" t="n">
        <v>46324</v>
      </c>
      <c r="F306" t="inlineStr">
        <is>
          <t>NORRBOTTENS LÄN</t>
        </is>
      </c>
      <c r="G306" t="inlineStr">
        <is>
          <t>KALIX</t>
        </is>
      </c>
      <c r="I306" t="n">
        <v>1.6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60234-2025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45994</v>
      </c>
      <c r="E307" s="1" t="n">
        <v>46324</v>
      </c>
      <c r="F307" t="inlineStr">
        <is>
          <t>NORRBOTTENS LÄN</t>
        </is>
      </c>
      <c r="G307" t="inlineStr">
        <is>
          <t>KALIX</t>
        </is>
      </c>
      <c r="I307" t="n">
        <v>1.8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60478-2025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45995</v>
      </c>
      <c r="E308" s="1" t="n">
        <v>46324</v>
      </c>
      <c r="F308" t="inlineStr">
        <is>
          <t>NORRBOTTENS LÄN</t>
        </is>
      </c>
      <c r="G308" t="inlineStr">
        <is>
          <t>KALIX</t>
        </is>
      </c>
      <c r="H308" t="inlineStr">
        <is>
          <t>SCA</t>
        </is>
      </c>
      <c r="I308" t="n">
        <v>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22180-2022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44712</v>
      </c>
      <c r="E309" s="1" t="n">
        <v>46324</v>
      </c>
      <c r="F309" t="inlineStr">
        <is>
          <t>NORRBOTTENS LÄN</t>
        </is>
      </c>
      <c r="G309" t="inlineStr">
        <is>
          <t>KALIX</t>
        </is>
      </c>
      <c r="I309" t="n">
        <v>6.6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59736-2024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45639</v>
      </c>
      <c r="E310" s="1" t="n">
        <v>46324</v>
      </c>
      <c r="F310" t="inlineStr">
        <is>
          <t>NORRBOTTENS LÄN</t>
        </is>
      </c>
      <c r="G310" t="inlineStr">
        <is>
          <t>KALIX</t>
        </is>
      </c>
      <c r="I310" t="n">
        <v>63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23898-2026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46167</v>
      </c>
      <c r="E311" s="1" t="n">
        <v>46324</v>
      </c>
      <c r="F311" t="inlineStr">
        <is>
          <t>NORRBOTTENS LÄN</t>
        </is>
      </c>
      <c r="G311" t="inlineStr">
        <is>
          <t>KALIX</t>
        </is>
      </c>
      <c r="I311" t="n">
        <v>4.2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13819-2025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45737</v>
      </c>
      <c r="E312" s="1" t="n">
        <v>46324</v>
      </c>
      <c r="F312" t="inlineStr">
        <is>
          <t>NORRBOTTENS LÄN</t>
        </is>
      </c>
      <c r="G312" t="inlineStr">
        <is>
          <t>KALIX</t>
        </is>
      </c>
      <c r="I312" t="n">
        <v>0.4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58659-2025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45986</v>
      </c>
      <c r="E313" s="1" t="n">
        <v>46324</v>
      </c>
      <c r="F313" t="inlineStr">
        <is>
          <t>NORRBOTTENS LÄN</t>
        </is>
      </c>
      <c r="G313" t="inlineStr">
        <is>
          <t>KALIX</t>
        </is>
      </c>
      <c r="H313" t="inlineStr">
        <is>
          <t>Kommuner</t>
        </is>
      </c>
      <c r="I313" t="n">
        <v>1.3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61394-2025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46001</v>
      </c>
      <c r="E314" s="1" t="n">
        <v>46324</v>
      </c>
      <c r="F314" t="inlineStr">
        <is>
          <t>NORRBOTTENS LÄN</t>
        </is>
      </c>
      <c r="G314" t="inlineStr">
        <is>
          <t>KALIX</t>
        </is>
      </c>
      <c r="I314" t="n">
        <v>4.3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6822-2025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45700</v>
      </c>
      <c r="E315" s="1" t="n">
        <v>46324</v>
      </c>
      <c r="F315" t="inlineStr">
        <is>
          <t>NORRBOTTENS LÄN</t>
        </is>
      </c>
      <c r="G315" t="inlineStr">
        <is>
          <t>KALIX</t>
        </is>
      </c>
      <c r="I315" t="n">
        <v>1.2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55539-2024</t>
        </is>
      </c>
      <c r="B316" t="inlineStr">
        <is>
          <t>avverkningsanmälan</t>
        </is>
      </c>
      <c r="C316" t="inlineStr">
        <is>
          <t>Avverkning för annat ändamål</t>
        </is>
      </c>
      <c r="D316" s="1" t="n">
        <v>45622</v>
      </c>
      <c r="E316" s="1" t="n">
        <v>46324</v>
      </c>
      <c r="F316" t="inlineStr">
        <is>
          <t>NORRBOTTENS LÄN</t>
        </is>
      </c>
      <c r="G316" t="inlineStr">
        <is>
          <t>KALIX</t>
        </is>
      </c>
      <c r="I316" t="n">
        <v>0.7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24033-2026</t>
        </is>
      </c>
      <c r="B317" t="inlineStr">
        <is>
          <t>avverkningsanmälan</t>
        </is>
      </c>
      <c r="C317" t="inlineStr">
        <is>
          <t>Avverkning för annat ändamål</t>
        </is>
      </c>
      <c r="D317" s="1" t="n">
        <v>46167</v>
      </c>
      <c r="E317" s="1" t="n">
        <v>46324</v>
      </c>
      <c r="F317" t="inlineStr">
        <is>
          <t>NORRBOTTENS LÄN</t>
        </is>
      </c>
      <c r="G317" t="inlineStr">
        <is>
          <t>KALIX</t>
        </is>
      </c>
      <c r="I317" t="n">
        <v>1.9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61868-2025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46003</v>
      </c>
      <c r="E318" s="1" t="n">
        <v>46324</v>
      </c>
      <c r="F318" t="inlineStr">
        <is>
          <t>NORRBOTTENS LÄN</t>
        </is>
      </c>
      <c r="G318" t="inlineStr">
        <is>
          <t>KALIX</t>
        </is>
      </c>
      <c r="I318" t="n">
        <v>1.2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61860-2025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46003</v>
      </c>
      <c r="E319" s="1" t="n">
        <v>46324</v>
      </c>
      <c r="F319" t="inlineStr">
        <is>
          <t>NORRBOTTENS LÄN</t>
        </is>
      </c>
      <c r="G319" t="inlineStr">
        <is>
          <t>KALIX</t>
        </is>
      </c>
      <c r="I319" t="n">
        <v>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24042-2026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46168</v>
      </c>
      <c r="E320" s="1" t="n">
        <v>46324</v>
      </c>
      <c r="F320" t="inlineStr">
        <is>
          <t>NORRBOTTENS LÄN</t>
        </is>
      </c>
      <c r="G320" t="inlineStr">
        <is>
          <t>KALIX</t>
        </is>
      </c>
      <c r="I320" t="n">
        <v>3.3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61904-2025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46003</v>
      </c>
      <c r="E321" s="1" t="n">
        <v>46324</v>
      </c>
      <c r="F321" t="inlineStr">
        <is>
          <t>NORRBOTTENS LÄN</t>
        </is>
      </c>
      <c r="G321" t="inlineStr">
        <is>
          <t>KALIX</t>
        </is>
      </c>
      <c r="I321" t="n">
        <v>13.8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61907-2025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46003</v>
      </c>
      <c r="E322" s="1" t="n">
        <v>46324</v>
      </c>
      <c r="F322" t="inlineStr">
        <is>
          <t>NORRBOTTENS LÄN</t>
        </is>
      </c>
      <c r="G322" t="inlineStr">
        <is>
          <t>KALIX</t>
        </is>
      </c>
      <c r="I322" t="n">
        <v>5.4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24250-2026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46168</v>
      </c>
      <c r="E323" s="1" t="n">
        <v>46324</v>
      </c>
      <c r="F323" t="inlineStr">
        <is>
          <t>NORRBOTTENS LÄN</t>
        </is>
      </c>
      <c r="G323" t="inlineStr">
        <is>
          <t>KALIX</t>
        </is>
      </c>
      <c r="I323" t="n">
        <v>1.6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61906-2025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46003</v>
      </c>
      <c r="E324" s="1" t="n">
        <v>46324</v>
      </c>
      <c r="F324" t="inlineStr">
        <is>
          <t>NORRBOTTENS LÄN</t>
        </is>
      </c>
      <c r="G324" t="inlineStr">
        <is>
          <t>KALIX</t>
        </is>
      </c>
      <c r="I324" t="n">
        <v>7.6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51839-2023</t>
        </is>
      </c>
      <c r="B325" t="inlineStr">
        <is>
          <t>avverkningsanmälan</t>
        </is>
      </c>
      <c r="C325" t="inlineStr">
        <is>
          <t>Föryngringsavverkning</t>
        </is>
      </c>
      <c r="D325" s="1" t="n">
        <v>45215</v>
      </c>
      <c r="E325" s="1" t="n">
        <v>46324</v>
      </c>
      <c r="F325" t="inlineStr">
        <is>
          <t>NORRBOTTENS LÄN</t>
        </is>
      </c>
      <c r="G325" t="inlineStr">
        <is>
          <t>KALIX</t>
        </is>
      </c>
      <c r="I325" t="n">
        <v>3.8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61905-2025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46003</v>
      </c>
      <c r="E326" s="1" t="n">
        <v>46324</v>
      </c>
      <c r="F326" t="inlineStr">
        <is>
          <t>NORRBOTTENS LÄN</t>
        </is>
      </c>
      <c r="G326" t="inlineStr">
        <is>
          <t>KALIX</t>
        </is>
      </c>
      <c r="I326" t="n">
        <v>4.5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61870-2025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46003</v>
      </c>
      <c r="E327" s="1" t="n">
        <v>46324</v>
      </c>
      <c r="F327" t="inlineStr">
        <is>
          <t>NORRBOTTENS LÄN</t>
        </is>
      </c>
      <c r="G327" t="inlineStr">
        <is>
          <t>KALIX</t>
        </is>
      </c>
      <c r="I327" t="n">
        <v>0.4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58991-2023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45225</v>
      </c>
      <c r="E328" s="1" t="n">
        <v>46324</v>
      </c>
      <c r="F328" t="inlineStr">
        <is>
          <t>NORRBOTTENS LÄN</t>
        </is>
      </c>
      <c r="G328" t="inlineStr">
        <is>
          <t>KALIX</t>
        </is>
      </c>
      <c r="I328" t="n">
        <v>0.3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19146-2023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45044</v>
      </c>
      <c r="E329" s="1" t="n">
        <v>46324</v>
      </c>
      <c r="F329" t="inlineStr">
        <is>
          <t>NORRBOTTENS LÄN</t>
        </is>
      </c>
      <c r="G329" t="inlineStr">
        <is>
          <t>KALIX</t>
        </is>
      </c>
      <c r="I329" t="n">
        <v>3.1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63364-2025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46009</v>
      </c>
      <c r="E330" s="1" t="n">
        <v>46324</v>
      </c>
      <c r="F330" t="inlineStr">
        <is>
          <t>NORRBOTTENS LÄN</t>
        </is>
      </c>
      <c r="G330" t="inlineStr">
        <is>
          <t>KALIX</t>
        </is>
      </c>
      <c r="H330" t="inlineStr">
        <is>
          <t>Kommuner</t>
        </is>
      </c>
      <c r="I330" t="n">
        <v>11.2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63102-2025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46009</v>
      </c>
      <c r="E331" s="1" t="n">
        <v>46324</v>
      </c>
      <c r="F331" t="inlineStr">
        <is>
          <t>NORRBOTTENS LÄN</t>
        </is>
      </c>
      <c r="G331" t="inlineStr">
        <is>
          <t>KALIX</t>
        </is>
      </c>
      <c r="I331" t="n">
        <v>4.8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24665-2026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46171</v>
      </c>
      <c r="E332" s="1" t="n">
        <v>46324</v>
      </c>
      <c r="F332" t="inlineStr">
        <is>
          <t>NORRBOTTENS LÄN</t>
        </is>
      </c>
      <c r="G332" t="inlineStr">
        <is>
          <t>KALIX</t>
        </is>
      </c>
      <c r="H332" t="inlineStr">
        <is>
          <t>Sveaskog</t>
        </is>
      </c>
      <c r="I332" t="n">
        <v>3.3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62986-2025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46009</v>
      </c>
      <c r="E333" s="1" t="n">
        <v>46324</v>
      </c>
      <c r="F333" t="inlineStr">
        <is>
          <t>NORRBOTTENS LÄN</t>
        </is>
      </c>
      <c r="G333" t="inlineStr">
        <is>
          <t>KALIX</t>
        </is>
      </c>
      <c r="I333" t="n">
        <v>3.7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62314-2025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46003</v>
      </c>
      <c r="E334" s="1" t="n">
        <v>46324</v>
      </c>
      <c r="F334" t="inlineStr">
        <is>
          <t>NORRBOTTENS LÄN</t>
        </is>
      </c>
      <c r="G334" t="inlineStr">
        <is>
          <t>KALIX</t>
        </is>
      </c>
      <c r="H334" t="inlineStr">
        <is>
          <t>Kommuner</t>
        </is>
      </c>
      <c r="I334" t="n">
        <v>4.9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63104-2025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46009</v>
      </c>
      <c r="E335" s="1" t="n">
        <v>46324</v>
      </c>
      <c r="F335" t="inlineStr">
        <is>
          <t>NORRBOTTENS LÄN</t>
        </is>
      </c>
      <c r="G335" t="inlineStr">
        <is>
          <t>KALIX</t>
        </is>
      </c>
      <c r="I335" t="n">
        <v>2.1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26-2026</t>
        </is>
      </c>
      <c r="B336" t="inlineStr">
        <is>
          <t>avverkningsanmälan</t>
        </is>
      </c>
      <c r="C336" t="inlineStr">
        <is>
          <t>Avverkning för annat ändamål</t>
        </is>
      </c>
      <c r="D336" s="1" t="n">
        <v>46013</v>
      </c>
      <c r="E336" s="1" t="n">
        <v>46324</v>
      </c>
      <c r="F336" t="inlineStr">
        <is>
          <t>NORRBOTTENS LÄN</t>
        </is>
      </c>
      <c r="G336" t="inlineStr">
        <is>
          <t>KALIX</t>
        </is>
      </c>
      <c r="H336" t="inlineStr">
        <is>
          <t>Kommuner</t>
        </is>
      </c>
      <c r="I336" t="n">
        <v>1.1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44749-2025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45917</v>
      </c>
      <c r="E337" s="1" t="n">
        <v>46324</v>
      </c>
      <c r="F337" t="inlineStr">
        <is>
          <t>NORRBOTTENS LÄN</t>
        </is>
      </c>
      <c r="G337" t="inlineStr">
        <is>
          <t>KALIX</t>
        </is>
      </c>
      <c r="H337" t="inlineStr">
        <is>
          <t>SCA</t>
        </is>
      </c>
      <c r="I337" t="n">
        <v>2.2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63450-2025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46013</v>
      </c>
      <c r="E338" s="1" t="n">
        <v>46324</v>
      </c>
      <c r="F338" t="inlineStr">
        <is>
          <t>NORRBOTTENS LÄN</t>
        </is>
      </c>
      <c r="G338" t="inlineStr">
        <is>
          <t>KALIX</t>
        </is>
      </c>
      <c r="H338" t="inlineStr">
        <is>
          <t>SCA</t>
        </is>
      </c>
      <c r="I338" t="n">
        <v>2.7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58585-2022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44894</v>
      </c>
      <c r="E339" s="1" t="n">
        <v>46324</v>
      </c>
      <c r="F339" t="inlineStr">
        <is>
          <t>NORRBOTTENS LÄN</t>
        </is>
      </c>
      <c r="G339" t="inlineStr">
        <is>
          <t>KALIX</t>
        </is>
      </c>
      <c r="I339" t="n">
        <v>0.8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58592-2022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44894</v>
      </c>
      <c r="E340" s="1" t="n">
        <v>46324</v>
      </c>
      <c r="F340" t="inlineStr">
        <is>
          <t>NORRBOTTENS LÄN</t>
        </is>
      </c>
      <c r="G340" t="inlineStr">
        <is>
          <t>KALIX</t>
        </is>
      </c>
      <c r="I340" t="n">
        <v>1.6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28958-2024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45481</v>
      </c>
      <c r="E341" s="1" t="n">
        <v>46324</v>
      </c>
      <c r="F341" t="inlineStr">
        <is>
          <t>NORRBOTTENS LÄN</t>
        </is>
      </c>
      <c r="G341" t="inlineStr">
        <is>
          <t>KALIX</t>
        </is>
      </c>
      <c r="I341" t="n">
        <v>0.7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8272-2023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44974</v>
      </c>
      <c r="E342" s="1" t="n">
        <v>46324</v>
      </c>
      <c r="F342" t="inlineStr">
        <is>
          <t>NORRBOTTENS LÄN</t>
        </is>
      </c>
      <c r="G342" t="inlineStr">
        <is>
          <t>KALIX</t>
        </is>
      </c>
      <c r="I342" t="n">
        <v>0.5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8277-2023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44974</v>
      </c>
      <c r="E343" s="1" t="n">
        <v>46324</v>
      </c>
      <c r="F343" t="inlineStr">
        <is>
          <t>NORRBOTTENS LÄN</t>
        </is>
      </c>
      <c r="G343" t="inlineStr">
        <is>
          <t>KALIX</t>
        </is>
      </c>
      <c r="I343" t="n">
        <v>0.8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25107-2026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46175</v>
      </c>
      <c r="E344" s="1" t="n">
        <v>46324</v>
      </c>
      <c r="F344" t="inlineStr">
        <is>
          <t>NORRBOTTENS LÄN</t>
        </is>
      </c>
      <c r="G344" t="inlineStr">
        <is>
          <t>KALIX</t>
        </is>
      </c>
      <c r="I344" t="n">
        <v>8.699999999999999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64027-2025</t>
        </is>
      </c>
      <c r="B345" t="inlineStr">
        <is>
          <t>avverkningsanmälan</t>
        </is>
      </c>
      <c r="C345" t="inlineStr">
        <is>
          <t>Avverkning för annat ändamål</t>
        </is>
      </c>
      <c r="D345" s="1" t="n">
        <v>46021</v>
      </c>
      <c r="E345" s="1" t="n">
        <v>46324</v>
      </c>
      <c r="F345" t="inlineStr">
        <is>
          <t>NORRBOTTENS LÄN</t>
        </is>
      </c>
      <c r="G345" t="inlineStr">
        <is>
          <t>KALIX</t>
        </is>
      </c>
      <c r="I345" t="n">
        <v>0.5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25111-2026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46175</v>
      </c>
      <c r="E346" s="1" t="n">
        <v>46324</v>
      </c>
      <c r="F346" t="inlineStr">
        <is>
          <t>NORRBOTTENS LÄN</t>
        </is>
      </c>
      <c r="G346" t="inlineStr">
        <is>
          <t>KALIX</t>
        </is>
      </c>
      <c r="I346" t="n">
        <v>2.2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64031-2025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46021</v>
      </c>
      <c r="E347" s="1" t="n">
        <v>46324</v>
      </c>
      <c r="F347" t="inlineStr">
        <is>
          <t>NORRBOTTENS LÄN</t>
        </is>
      </c>
      <c r="G347" t="inlineStr">
        <is>
          <t>KALIX</t>
        </is>
      </c>
      <c r="I347" t="n">
        <v>0.7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40565-2023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45170</v>
      </c>
      <c r="E348" s="1" t="n">
        <v>46324</v>
      </c>
      <c r="F348" t="inlineStr">
        <is>
          <t>NORRBOTTENS LÄN</t>
        </is>
      </c>
      <c r="G348" t="inlineStr">
        <is>
          <t>KALIX</t>
        </is>
      </c>
      <c r="I348" t="n">
        <v>5.3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25222-2026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46175</v>
      </c>
      <c r="E349" s="1" t="n">
        <v>46324</v>
      </c>
      <c r="F349" t="inlineStr">
        <is>
          <t>NORRBOTTENS LÄN</t>
        </is>
      </c>
      <c r="G349" t="inlineStr">
        <is>
          <t>KALIX</t>
        </is>
      </c>
      <c r="H349" t="inlineStr">
        <is>
          <t>SCA</t>
        </is>
      </c>
      <c r="I349" t="n">
        <v>1.3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8799-2025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45712</v>
      </c>
      <c r="E350" s="1" t="n">
        <v>46324</v>
      </c>
      <c r="F350" t="inlineStr">
        <is>
          <t>NORRBOTTENS LÄN</t>
        </is>
      </c>
      <c r="G350" t="inlineStr">
        <is>
          <t>KALIX</t>
        </is>
      </c>
      <c r="I350" t="n">
        <v>0.8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25179-2026</t>
        </is>
      </c>
      <c r="B351" t="inlineStr">
        <is>
          <t>avverkningsanmälan</t>
        </is>
      </c>
      <c r="C351" t="inlineStr">
        <is>
          <t>Föryngringsavverkning</t>
        </is>
      </c>
      <c r="D351" s="1" t="n">
        <v>46175</v>
      </c>
      <c r="E351" s="1" t="n">
        <v>46324</v>
      </c>
      <c r="F351" t="inlineStr">
        <is>
          <t>NORRBOTTENS LÄN</t>
        </is>
      </c>
      <c r="G351" t="inlineStr">
        <is>
          <t>KALIX</t>
        </is>
      </c>
      <c r="I351" t="n">
        <v>5.9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626-2026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46029</v>
      </c>
      <c r="E352" s="1" t="n">
        <v>46324</v>
      </c>
      <c r="F352" t="inlineStr">
        <is>
          <t>NORRBOTTENS LÄN</t>
        </is>
      </c>
      <c r="G352" t="inlineStr">
        <is>
          <t>KALIX</t>
        </is>
      </c>
      <c r="I352" t="n">
        <v>9.4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630-2026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46029</v>
      </c>
      <c r="E353" s="1" t="n">
        <v>46324</v>
      </c>
      <c r="F353" t="inlineStr">
        <is>
          <t>NORRBOTTENS LÄN</t>
        </is>
      </c>
      <c r="G353" t="inlineStr">
        <is>
          <t>KALIX</t>
        </is>
      </c>
      <c r="I353" t="n">
        <v>2.3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54296-2024</t>
        </is>
      </c>
      <c r="B354" t="inlineStr">
        <is>
          <t>avverkningsanmälan</t>
        </is>
      </c>
      <c r="C354" t="inlineStr">
        <is>
          <t>Avverkning för annat ändamål</t>
        </is>
      </c>
      <c r="D354" s="1" t="n">
        <v>45617</v>
      </c>
      <c r="E354" s="1" t="n">
        <v>46324</v>
      </c>
      <c r="F354" t="inlineStr">
        <is>
          <t>NORRBOTTENS LÄN</t>
        </is>
      </c>
      <c r="G354" t="inlineStr">
        <is>
          <t>KALIX</t>
        </is>
      </c>
      <c r="H354" t="inlineStr">
        <is>
          <t>Sveaskog</t>
        </is>
      </c>
      <c r="I354" t="n">
        <v>1.5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1002-2026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46030</v>
      </c>
      <c r="E355" s="1" t="n">
        <v>46324</v>
      </c>
      <c r="F355" t="inlineStr">
        <is>
          <t>NORRBOTTENS LÄN</t>
        </is>
      </c>
      <c r="G355" t="inlineStr">
        <is>
          <t>KALIX</t>
        </is>
      </c>
      <c r="I355" t="n">
        <v>0.3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1003-2026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46030</v>
      </c>
      <c r="E356" s="1" t="n">
        <v>46324</v>
      </c>
      <c r="F356" t="inlineStr">
        <is>
          <t>NORRBOTTENS LÄN</t>
        </is>
      </c>
      <c r="G356" t="inlineStr">
        <is>
          <t>KALIX</t>
        </is>
      </c>
      <c r="I356" t="n">
        <v>4.1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19311-2023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45049</v>
      </c>
      <c r="E357" s="1" t="n">
        <v>46324</v>
      </c>
      <c r="F357" t="inlineStr">
        <is>
          <t>NORRBOTTENS LÄN</t>
        </is>
      </c>
      <c r="G357" t="inlineStr">
        <is>
          <t>KALIX</t>
        </is>
      </c>
      <c r="I357" t="n">
        <v>6.7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1242-2026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46031</v>
      </c>
      <c r="E358" s="1" t="n">
        <v>46324</v>
      </c>
      <c r="F358" t="inlineStr">
        <is>
          <t>NORRBOTTENS LÄN</t>
        </is>
      </c>
      <c r="G358" t="inlineStr">
        <is>
          <t>KALIX</t>
        </is>
      </c>
      <c r="I358" t="n">
        <v>3.7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1243-2026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46031</v>
      </c>
      <c r="E359" s="1" t="n">
        <v>46324</v>
      </c>
      <c r="F359" t="inlineStr">
        <is>
          <t>NORRBOTTENS LÄN</t>
        </is>
      </c>
      <c r="G359" t="inlineStr">
        <is>
          <t>KALIX</t>
        </is>
      </c>
      <c r="I359" t="n">
        <v>2.9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1033-2026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46030</v>
      </c>
      <c r="E360" s="1" t="n">
        <v>46324</v>
      </c>
      <c r="F360" t="inlineStr">
        <is>
          <t>NORRBOTTENS LÄN</t>
        </is>
      </c>
      <c r="G360" t="inlineStr">
        <is>
          <t>KALIX</t>
        </is>
      </c>
      <c r="I360" t="n">
        <v>0.5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1298-2026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46031</v>
      </c>
      <c r="E361" s="1" t="n">
        <v>46324</v>
      </c>
      <c r="F361" t="inlineStr">
        <is>
          <t>NORRBOTTENS LÄN</t>
        </is>
      </c>
      <c r="G361" t="inlineStr">
        <is>
          <t>KALIX</t>
        </is>
      </c>
      <c r="I361" t="n">
        <v>9.699999999999999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1957-2026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46035</v>
      </c>
      <c r="E362" s="1" t="n">
        <v>46324</v>
      </c>
      <c r="F362" t="inlineStr">
        <is>
          <t>NORRBOTTENS LÄN</t>
        </is>
      </c>
      <c r="G362" t="inlineStr">
        <is>
          <t>KALIX</t>
        </is>
      </c>
      <c r="I362" t="n">
        <v>0.6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1979-2026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46035</v>
      </c>
      <c r="E363" s="1" t="n">
        <v>46324</v>
      </c>
      <c r="F363" t="inlineStr">
        <is>
          <t>NORRBOTTENS LÄN</t>
        </is>
      </c>
      <c r="G363" t="inlineStr">
        <is>
          <t>KALIX</t>
        </is>
      </c>
      <c r="I363" t="n">
        <v>1.6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1973-2026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46035</v>
      </c>
      <c r="E364" s="1" t="n">
        <v>46324</v>
      </c>
      <c r="F364" t="inlineStr">
        <is>
          <t>NORRBOTTENS LÄN</t>
        </is>
      </c>
      <c r="G364" t="inlineStr">
        <is>
          <t>KALIX</t>
        </is>
      </c>
      <c r="I364" t="n">
        <v>4.3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25736-2026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46178</v>
      </c>
      <c r="E365" s="1" t="n">
        <v>46324</v>
      </c>
      <c r="F365" t="inlineStr">
        <is>
          <t>NORRBOTTENS LÄN</t>
        </is>
      </c>
      <c r="G365" t="inlineStr">
        <is>
          <t>KALIX</t>
        </is>
      </c>
      <c r="H365" t="inlineStr">
        <is>
          <t>Sveaskog</t>
        </is>
      </c>
      <c r="I365" t="n">
        <v>2.3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11112-2023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44992</v>
      </c>
      <c r="E366" s="1" t="n">
        <v>46324</v>
      </c>
      <c r="F366" t="inlineStr">
        <is>
          <t>NORRBOTTENS LÄN</t>
        </is>
      </c>
      <c r="G366" t="inlineStr">
        <is>
          <t>KALIX</t>
        </is>
      </c>
      <c r="I366" t="n">
        <v>2.1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3295-2026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46041</v>
      </c>
      <c r="E367" s="1" t="n">
        <v>46324</v>
      </c>
      <c r="F367" t="inlineStr">
        <is>
          <t>NORRBOTTENS LÄN</t>
        </is>
      </c>
      <c r="G367" t="inlineStr">
        <is>
          <t>KALIX</t>
        </is>
      </c>
      <c r="I367" t="n">
        <v>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3254-2026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46041</v>
      </c>
      <c r="E368" s="1" t="n">
        <v>46324</v>
      </c>
      <c r="F368" t="inlineStr">
        <is>
          <t>NORRBOTTENS LÄN</t>
        </is>
      </c>
      <c r="G368" t="inlineStr">
        <is>
          <t>KALIX</t>
        </is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6240-2023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44964</v>
      </c>
      <c r="E369" s="1" t="n">
        <v>46324</v>
      </c>
      <c r="F369" t="inlineStr">
        <is>
          <t>NORRBOTTENS LÄN</t>
        </is>
      </c>
      <c r="G369" t="inlineStr">
        <is>
          <t>KALIX</t>
        </is>
      </c>
      <c r="H369" t="inlineStr">
        <is>
          <t>SCA</t>
        </is>
      </c>
      <c r="I369" t="n">
        <v>3.2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6245-2023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44964</v>
      </c>
      <c r="E370" s="1" t="n">
        <v>46324</v>
      </c>
      <c r="F370" t="inlineStr">
        <is>
          <t>NORRBOTTENS LÄN</t>
        </is>
      </c>
      <c r="G370" t="inlineStr">
        <is>
          <t>KALIX</t>
        </is>
      </c>
      <c r="H370" t="inlineStr">
        <is>
          <t>SCA</t>
        </is>
      </c>
      <c r="I370" t="n">
        <v>1.6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69886-2021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44532</v>
      </c>
      <c r="E371" s="1" t="n">
        <v>46324</v>
      </c>
      <c r="F371" t="inlineStr">
        <is>
          <t>NORRBOTTENS LÄN</t>
        </is>
      </c>
      <c r="G371" t="inlineStr">
        <is>
          <t>KALIX</t>
        </is>
      </c>
      <c r="I371" t="n">
        <v>0.7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9344-2023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44980</v>
      </c>
      <c r="E372" s="1" t="n">
        <v>46324</v>
      </c>
      <c r="F372" t="inlineStr">
        <is>
          <t>NORRBOTTENS LÄN</t>
        </is>
      </c>
      <c r="G372" t="inlineStr">
        <is>
          <t>KALIX</t>
        </is>
      </c>
      <c r="I372" t="n">
        <v>6.8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59021-2022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44903</v>
      </c>
      <c r="E373" s="1" t="n">
        <v>46324</v>
      </c>
      <c r="F373" t="inlineStr">
        <is>
          <t>NORRBOTTENS LÄN</t>
        </is>
      </c>
      <c r="G373" t="inlineStr">
        <is>
          <t>KALIX</t>
        </is>
      </c>
      <c r="I373" t="n">
        <v>5.5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62157-2023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45266</v>
      </c>
      <c r="E374" s="1" t="n">
        <v>46324</v>
      </c>
      <c r="F374" t="inlineStr">
        <is>
          <t>NORRBOTTENS LÄN</t>
        </is>
      </c>
      <c r="G374" t="inlineStr">
        <is>
          <t>KALIX</t>
        </is>
      </c>
      <c r="I374" t="n">
        <v>1.7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62161-2023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45266</v>
      </c>
      <c r="E375" s="1" t="n">
        <v>46324</v>
      </c>
      <c r="F375" t="inlineStr">
        <is>
          <t>NORRBOTTENS LÄN</t>
        </is>
      </c>
      <c r="G375" t="inlineStr">
        <is>
          <t>KALIX</t>
        </is>
      </c>
      <c r="I375" t="n">
        <v>17.7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49759-2022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44862</v>
      </c>
      <c r="E376" s="1" t="n">
        <v>46324</v>
      </c>
      <c r="F376" t="inlineStr">
        <is>
          <t>NORRBOTTENS LÄN</t>
        </is>
      </c>
      <c r="G376" t="inlineStr">
        <is>
          <t>KALIX</t>
        </is>
      </c>
      <c r="I376" t="n">
        <v>2.6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6624-2025</t>
        </is>
      </c>
      <c r="B377" t="inlineStr">
        <is>
          <t>avverkningsanmälan</t>
        </is>
      </c>
      <c r="C377" t="inlineStr">
        <is>
          <t>Föryngringsavverkning</t>
        </is>
      </c>
      <c r="D377" s="1" t="n">
        <v>45700</v>
      </c>
      <c r="E377" s="1" t="n">
        <v>46324</v>
      </c>
      <c r="F377" t="inlineStr">
        <is>
          <t>NORRBOTTENS LÄN</t>
        </is>
      </c>
      <c r="G377" t="inlineStr">
        <is>
          <t>KALIX</t>
        </is>
      </c>
      <c r="H377" t="inlineStr">
        <is>
          <t>SCA</t>
        </is>
      </c>
      <c r="I377" t="n">
        <v>3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6155-2026</t>
        </is>
      </c>
      <c r="B378" t="inlineStr">
        <is>
          <t>avverkningsanmälan</t>
        </is>
      </c>
      <c r="C378" t="inlineStr">
        <is>
          <t>Föryngringsavverkning</t>
        </is>
      </c>
      <c r="D378" s="1" t="n">
        <v>46055</v>
      </c>
      <c r="E378" s="1" t="n">
        <v>46324</v>
      </c>
      <c r="F378" t="inlineStr">
        <is>
          <t>NORRBOTTENS LÄN</t>
        </is>
      </c>
      <c r="G378" t="inlineStr">
        <is>
          <t>KALIX</t>
        </is>
      </c>
      <c r="I378" t="n">
        <v>5.1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7184-2023</t>
        </is>
      </c>
      <c r="B379" t="inlineStr">
        <is>
          <t>avverkningsanmälan</t>
        </is>
      </c>
      <c r="C379" t="inlineStr">
        <is>
          <t>Föryngringsavverkning</t>
        </is>
      </c>
      <c r="D379" s="1" t="n">
        <v>44970</v>
      </c>
      <c r="E379" s="1" t="n">
        <v>46324</v>
      </c>
      <c r="F379" t="inlineStr">
        <is>
          <t>NORRBOTTENS LÄN</t>
        </is>
      </c>
      <c r="G379" t="inlineStr">
        <is>
          <t>KALIX</t>
        </is>
      </c>
      <c r="I379" t="n">
        <v>3.2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7196-2023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44970</v>
      </c>
      <c r="E380" s="1" t="n">
        <v>46324</v>
      </c>
      <c r="F380" t="inlineStr">
        <is>
          <t>NORRBOTTENS LÄN</t>
        </is>
      </c>
      <c r="G380" t="inlineStr">
        <is>
          <t>KALIX</t>
        </is>
      </c>
      <c r="I380" t="n">
        <v>16.9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6729-2026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46056</v>
      </c>
      <c r="E381" s="1" t="n">
        <v>46324</v>
      </c>
      <c r="F381" t="inlineStr">
        <is>
          <t>NORRBOTTENS LÄN</t>
        </is>
      </c>
      <c r="G381" t="inlineStr">
        <is>
          <t>KALIX</t>
        </is>
      </c>
      <c r="I381" t="n">
        <v>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6715-2026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46056</v>
      </c>
      <c r="E382" s="1" t="n">
        <v>46324</v>
      </c>
      <c r="F382" t="inlineStr">
        <is>
          <t>NORRBOTTENS LÄN</t>
        </is>
      </c>
      <c r="G382" t="inlineStr">
        <is>
          <t>KALIX</t>
        </is>
      </c>
      <c r="I382" t="n">
        <v>2.7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20357-2023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45058</v>
      </c>
      <c r="E383" s="1" t="n">
        <v>46324</v>
      </c>
      <c r="F383" t="inlineStr">
        <is>
          <t>NORRBOTTENS LÄN</t>
        </is>
      </c>
      <c r="G383" t="inlineStr">
        <is>
          <t>KALIX</t>
        </is>
      </c>
      <c r="I383" t="n">
        <v>5.6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44411-2024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45573</v>
      </c>
      <c r="E384" s="1" t="n">
        <v>46324</v>
      </c>
      <c r="F384" t="inlineStr">
        <is>
          <t>NORRBOTTENS LÄN</t>
        </is>
      </c>
      <c r="G384" t="inlineStr">
        <is>
          <t>KALIX</t>
        </is>
      </c>
      <c r="I384" t="n">
        <v>6.7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35840-2023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45147</v>
      </c>
      <c r="E385" s="1" t="n">
        <v>46324</v>
      </c>
      <c r="F385" t="inlineStr">
        <is>
          <t>NORRBOTTENS LÄN</t>
        </is>
      </c>
      <c r="G385" t="inlineStr">
        <is>
          <t>KALIX</t>
        </is>
      </c>
      <c r="I385" t="n">
        <v>12.1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60516-2023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45259</v>
      </c>
      <c r="E386" s="1" t="n">
        <v>46324</v>
      </c>
      <c r="F386" t="inlineStr">
        <is>
          <t>NORRBOTTENS LÄN</t>
        </is>
      </c>
      <c r="G386" t="inlineStr">
        <is>
          <t>KALIX</t>
        </is>
      </c>
      <c r="I386" t="n">
        <v>1.1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14207-2024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45393</v>
      </c>
      <c r="E387" s="1" t="n">
        <v>46324</v>
      </c>
      <c r="F387" t="inlineStr">
        <is>
          <t>NORRBOTTENS LÄN</t>
        </is>
      </c>
      <c r="G387" t="inlineStr">
        <is>
          <t>KALIX</t>
        </is>
      </c>
      <c r="I387" t="n">
        <v>1.3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57939-2023</t>
        </is>
      </c>
      <c r="B388" t="inlineStr">
        <is>
          <t>avverkningsanmälan</t>
        </is>
      </c>
      <c r="C388" t="inlineStr">
        <is>
          <t>Avverkning för annat ändamål</t>
        </is>
      </c>
      <c r="D388" s="1" t="n">
        <v>45247</v>
      </c>
      <c r="E388" s="1" t="n">
        <v>46324</v>
      </c>
      <c r="F388" t="inlineStr">
        <is>
          <t>NORRBOTTENS LÄN</t>
        </is>
      </c>
      <c r="G388" t="inlineStr">
        <is>
          <t>KALIX</t>
        </is>
      </c>
      <c r="I388" t="n">
        <v>0.4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28364-2026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46195</v>
      </c>
      <c r="E389" s="1" t="n">
        <v>46324</v>
      </c>
      <c r="F389" t="inlineStr">
        <is>
          <t>NORRBOTTENS LÄN</t>
        </is>
      </c>
      <c r="G389" t="inlineStr">
        <is>
          <t>KALIX</t>
        </is>
      </c>
      <c r="I389" t="n">
        <v>1.4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27879-2026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46191</v>
      </c>
      <c r="E390" s="1" t="n">
        <v>46324</v>
      </c>
      <c r="F390" t="inlineStr">
        <is>
          <t>NORRBOTTENS LÄN</t>
        </is>
      </c>
      <c r="G390" t="inlineStr">
        <is>
          <t>KALIX</t>
        </is>
      </c>
      <c r="H390" t="inlineStr">
        <is>
          <t>SCA</t>
        </is>
      </c>
      <c r="I390" t="n">
        <v>4.2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8740-2026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46066</v>
      </c>
      <c r="E391" s="1" t="n">
        <v>46324</v>
      </c>
      <c r="F391" t="inlineStr">
        <is>
          <t>NORRBOTTENS LÄN</t>
        </is>
      </c>
      <c r="G391" t="inlineStr">
        <is>
          <t>KALIX</t>
        </is>
      </c>
      <c r="H391" t="inlineStr">
        <is>
          <t>SCA</t>
        </is>
      </c>
      <c r="I391" t="n">
        <v>4.6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11856-2023</t>
        </is>
      </c>
      <c r="B392" t="inlineStr">
        <is>
          <t>avverkningsanmälan</t>
        </is>
      </c>
      <c r="C392" t="inlineStr">
        <is>
          <t>Avverkning för annat ändamål</t>
        </is>
      </c>
      <c r="D392" s="1" t="n">
        <v>44995</v>
      </c>
      <c r="E392" s="1" t="n">
        <v>46324</v>
      </c>
      <c r="F392" t="inlineStr">
        <is>
          <t>NORRBOTTENS LÄN</t>
        </is>
      </c>
      <c r="G392" t="inlineStr">
        <is>
          <t>KALIX</t>
        </is>
      </c>
      <c r="I392" t="n">
        <v>1.9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57326-2024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45629</v>
      </c>
      <c r="E393" s="1" t="n">
        <v>46324</v>
      </c>
      <c r="F393" t="inlineStr">
        <is>
          <t>NORRBOTTENS LÄN</t>
        </is>
      </c>
      <c r="G393" t="inlineStr">
        <is>
          <t>KALIX</t>
        </is>
      </c>
      <c r="I393" t="n">
        <v>8.5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56470-2023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45237</v>
      </c>
      <c r="E394" s="1" t="n">
        <v>46324</v>
      </c>
      <c r="F394" t="inlineStr">
        <is>
          <t>NORRBOTTENS LÄN</t>
        </is>
      </c>
      <c r="G394" t="inlineStr">
        <is>
          <t>KALIX</t>
        </is>
      </c>
      <c r="I394" t="n">
        <v>0.5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18008-2024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45419</v>
      </c>
      <c r="E395" s="1" t="n">
        <v>46324</v>
      </c>
      <c r="F395" t="inlineStr">
        <is>
          <t>NORRBOTTENS LÄN</t>
        </is>
      </c>
      <c r="G395" t="inlineStr">
        <is>
          <t>KALIX</t>
        </is>
      </c>
      <c r="H395" t="inlineStr">
        <is>
          <t>SCA</t>
        </is>
      </c>
      <c r="I395" t="n">
        <v>6.3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28114-2026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46195</v>
      </c>
      <c r="E396" s="1" t="n">
        <v>46324</v>
      </c>
      <c r="F396" t="inlineStr">
        <is>
          <t>NORRBOTTENS LÄN</t>
        </is>
      </c>
      <c r="G396" t="inlineStr">
        <is>
          <t>KALIX</t>
        </is>
      </c>
      <c r="I396" t="n">
        <v>1.5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57117-2024</t>
        </is>
      </c>
      <c r="B397" t="inlineStr">
        <is>
          <t>avverkningsanmälan</t>
        </is>
      </c>
      <c r="C397" t="inlineStr">
        <is>
          <t>Avverkning för annat ändamål</t>
        </is>
      </c>
      <c r="D397" s="1" t="n">
        <v>45629</v>
      </c>
      <c r="E397" s="1" t="n">
        <v>46324</v>
      </c>
      <c r="F397" t="inlineStr">
        <is>
          <t>NORRBOTTENS LÄN</t>
        </is>
      </c>
      <c r="G397" t="inlineStr">
        <is>
          <t>KALIX</t>
        </is>
      </c>
      <c r="I397" t="n">
        <v>0.4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9968-2026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46073</v>
      </c>
      <c r="E398" s="1" t="n">
        <v>46324</v>
      </c>
      <c r="F398" t="inlineStr">
        <is>
          <t>NORRBOTTENS LÄN</t>
        </is>
      </c>
      <c r="G398" t="inlineStr">
        <is>
          <t>KALIX</t>
        </is>
      </c>
      <c r="I398" t="n">
        <v>0.3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62148-2023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45266</v>
      </c>
      <c r="E399" s="1" t="n">
        <v>46324</v>
      </c>
      <c r="F399" t="inlineStr">
        <is>
          <t>NORRBOTTENS LÄN</t>
        </is>
      </c>
      <c r="G399" t="inlineStr">
        <is>
          <t>KALIX</t>
        </is>
      </c>
      <c r="I399" t="n">
        <v>0.6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28155-2026</t>
        </is>
      </c>
      <c r="B400" t="inlineStr">
        <is>
          <t>avverkningsanmälan</t>
        </is>
      </c>
      <c r="C400" t="inlineStr">
        <is>
          <t>Avverkning för annat ändamål</t>
        </is>
      </c>
      <c r="D400" s="1" t="n">
        <v>46195</v>
      </c>
      <c r="E400" s="1" t="n">
        <v>46324</v>
      </c>
      <c r="F400" t="inlineStr">
        <is>
          <t>NORRBOTTENS LÄN</t>
        </is>
      </c>
      <c r="G400" t="inlineStr">
        <is>
          <t>KALIX</t>
        </is>
      </c>
      <c r="I400" t="n">
        <v>8.800000000000001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10547-2026</t>
        </is>
      </c>
      <c r="B401" t="inlineStr">
        <is>
          <t>avverkningsanmälan</t>
        </is>
      </c>
      <c r="C401" t="inlineStr">
        <is>
          <t>Avverkning för annat ändamål</t>
        </is>
      </c>
      <c r="D401" s="1" t="n">
        <v>46077</v>
      </c>
      <c r="E401" s="1" t="n">
        <v>46324</v>
      </c>
      <c r="F401" t="inlineStr">
        <is>
          <t>NORRBOTTENS LÄN</t>
        </is>
      </c>
      <c r="G401" t="inlineStr">
        <is>
          <t>KALIX</t>
        </is>
      </c>
      <c r="I401" t="n">
        <v>16.5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3310-2025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45679</v>
      </c>
      <c r="E402" s="1" t="n">
        <v>46324</v>
      </c>
      <c r="F402" t="inlineStr">
        <is>
          <t>NORRBOTTENS LÄN</t>
        </is>
      </c>
      <c r="G402" t="inlineStr">
        <is>
          <t>KALIX</t>
        </is>
      </c>
      <c r="I402" t="n">
        <v>3.1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19536-2024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45429</v>
      </c>
      <c r="E403" s="1" t="n">
        <v>46324</v>
      </c>
      <c r="F403" t="inlineStr">
        <is>
          <t>NORRBOTTENS LÄN</t>
        </is>
      </c>
      <c r="G403" t="inlineStr">
        <is>
          <t>KALIX</t>
        </is>
      </c>
      <c r="I403" t="n">
        <v>1.3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28501-2026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46197</v>
      </c>
      <c r="E404" s="1" t="n">
        <v>46324</v>
      </c>
      <c r="F404" t="inlineStr">
        <is>
          <t>NORRBOTTENS LÄN</t>
        </is>
      </c>
      <c r="G404" t="inlineStr">
        <is>
          <t>KALIX</t>
        </is>
      </c>
      <c r="I404" t="n">
        <v>2.2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7236-2022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44603</v>
      </c>
      <c r="E405" s="1" t="n">
        <v>46324</v>
      </c>
      <c r="F405" t="inlineStr">
        <is>
          <t>NORRBOTTENS LÄN</t>
        </is>
      </c>
      <c r="G405" t="inlineStr">
        <is>
          <t>KALIX</t>
        </is>
      </c>
      <c r="I405" t="n">
        <v>5.9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28891-2026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46199</v>
      </c>
      <c r="E406" s="1" t="n">
        <v>46324</v>
      </c>
      <c r="F406" t="inlineStr">
        <is>
          <t>NORRBOTTENS LÄN</t>
        </is>
      </c>
      <c r="G406" t="inlineStr">
        <is>
          <t>KALIX</t>
        </is>
      </c>
      <c r="I406" t="n">
        <v>3.9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35051-2023</t>
        </is>
      </c>
      <c r="B407" t="inlineStr">
        <is>
          <t>avverkningsanmälan</t>
        </is>
      </c>
      <c r="C407" t="inlineStr">
        <is>
          <t>Avverkning för att bevara och utveckla /försöksver</t>
        </is>
      </c>
      <c r="D407" s="1" t="n">
        <v>45145</v>
      </c>
      <c r="E407" s="1" t="n">
        <v>46324</v>
      </c>
      <c r="F407" t="inlineStr">
        <is>
          <t>NORRBOTTENS LÄN</t>
        </is>
      </c>
      <c r="G407" t="inlineStr">
        <is>
          <t>KALIX</t>
        </is>
      </c>
      <c r="H407" t="inlineStr">
        <is>
          <t>Sveaskog</t>
        </is>
      </c>
      <c r="I407" t="n">
        <v>2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11401-2026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46083</v>
      </c>
      <c r="E408" s="1" t="n">
        <v>46324</v>
      </c>
      <c r="F408" t="inlineStr">
        <is>
          <t>NORRBOTTENS LÄN</t>
        </is>
      </c>
      <c r="G408" t="inlineStr">
        <is>
          <t>KALIX</t>
        </is>
      </c>
      <c r="I408" t="n">
        <v>1.3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29066-2026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46199</v>
      </c>
      <c r="E409" s="1" t="n">
        <v>46324</v>
      </c>
      <c r="F409" t="inlineStr">
        <is>
          <t>NORRBOTTENS LÄN</t>
        </is>
      </c>
      <c r="G409" t="inlineStr">
        <is>
          <t>KALIX</t>
        </is>
      </c>
      <c r="H409" t="inlineStr">
        <is>
          <t>SCA</t>
        </is>
      </c>
      <c r="I409" t="n">
        <v>3.7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11938-2026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46085</v>
      </c>
      <c r="E410" s="1" t="n">
        <v>46324</v>
      </c>
      <c r="F410" t="inlineStr">
        <is>
          <t>NORRBOTTENS LÄN</t>
        </is>
      </c>
      <c r="G410" t="inlineStr">
        <is>
          <t>KALIX</t>
        </is>
      </c>
      <c r="I410" t="n">
        <v>3.4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29044-2026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46199</v>
      </c>
      <c r="E411" s="1" t="n">
        <v>46324</v>
      </c>
      <c r="F411" t="inlineStr">
        <is>
          <t>NORRBOTTENS LÄN</t>
        </is>
      </c>
      <c r="G411" t="inlineStr">
        <is>
          <t>KALIX</t>
        </is>
      </c>
      <c r="I411" t="n">
        <v>1.7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29463-2026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46203</v>
      </c>
      <c r="E412" s="1" t="n">
        <v>46324</v>
      </c>
      <c r="F412" t="inlineStr">
        <is>
          <t>NORRBOTTENS LÄN</t>
        </is>
      </c>
      <c r="G412" t="inlineStr">
        <is>
          <t>KALIX</t>
        </is>
      </c>
      <c r="H412" t="inlineStr">
        <is>
          <t>Sveaskog</t>
        </is>
      </c>
      <c r="I412" t="n">
        <v>13.2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12394-2026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46090</v>
      </c>
      <c r="E413" s="1" t="n">
        <v>46324</v>
      </c>
      <c r="F413" t="inlineStr">
        <is>
          <t>NORRBOTTENS LÄN</t>
        </is>
      </c>
      <c r="G413" t="inlineStr">
        <is>
          <t>KALIX</t>
        </is>
      </c>
      <c r="I413" t="n">
        <v>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12485-2026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46090</v>
      </c>
      <c r="E414" s="1" t="n">
        <v>46324</v>
      </c>
      <c r="F414" t="inlineStr">
        <is>
          <t>NORRBOTTENS LÄN</t>
        </is>
      </c>
      <c r="G414" t="inlineStr">
        <is>
          <t>KALIX</t>
        </is>
      </c>
      <c r="I414" t="n">
        <v>2.7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60926-2023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45261</v>
      </c>
      <c r="E415" s="1" t="n">
        <v>46324</v>
      </c>
      <c r="F415" t="inlineStr">
        <is>
          <t>NORRBOTTENS LÄN</t>
        </is>
      </c>
      <c r="G415" t="inlineStr">
        <is>
          <t>KALIX</t>
        </is>
      </c>
      <c r="I415" t="n">
        <v>0.4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29707-2026</t>
        </is>
      </c>
      <c r="B416" t="inlineStr">
        <is>
          <t>avverkningsanmälan</t>
        </is>
      </c>
      <c r="C416" t="inlineStr">
        <is>
          <t>Föryngringsavverkning</t>
        </is>
      </c>
      <c r="D416" s="1" t="n">
        <v>46204</v>
      </c>
      <c r="E416" s="1" t="n">
        <v>46324</v>
      </c>
      <c r="F416" t="inlineStr">
        <is>
          <t>NORRBOTTENS LÄN</t>
        </is>
      </c>
      <c r="G416" t="inlineStr">
        <is>
          <t>KALIX</t>
        </is>
      </c>
      <c r="I416" t="n">
        <v>2.5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29712-2026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46204</v>
      </c>
      <c r="E417" s="1" t="n">
        <v>46324</v>
      </c>
      <c r="F417" t="inlineStr">
        <is>
          <t>NORRBOTTENS LÄN</t>
        </is>
      </c>
      <c r="G417" t="inlineStr">
        <is>
          <t>KALIX</t>
        </is>
      </c>
      <c r="I417" t="n">
        <v>0.8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19714-2025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45771</v>
      </c>
      <c r="E418" s="1" t="n">
        <v>46324</v>
      </c>
      <c r="F418" t="inlineStr">
        <is>
          <t>NORRBOTTENS LÄN</t>
        </is>
      </c>
      <c r="G418" t="inlineStr">
        <is>
          <t>KALIX</t>
        </is>
      </c>
      <c r="I418" t="n">
        <v>3.9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12606-2026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46091</v>
      </c>
      <c r="E419" s="1" t="n">
        <v>46324</v>
      </c>
      <c r="F419" t="inlineStr">
        <is>
          <t>NORRBOTTENS LÄN</t>
        </is>
      </c>
      <c r="G419" t="inlineStr">
        <is>
          <t>KALIX</t>
        </is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12626-2026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46091</v>
      </c>
      <c r="E420" s="1" t="n">
        <v>46324</v>
      </c>
      <c r="F420" t="inlineStr">
        <is>
          <t>NORRBOTTENS LÄN</t>
        </is>
      </c>
      <c r="G420" t="inlineStr">
        <is>
          <t>KALIX</t>
        </is>
      </c>
      <c r="I420" t="n">
        <v>2.2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29560-2026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46204</v>
      </c>
      <c r="E421" s="1" t="n">
        <v>46324</v>
      </c>
      <c r="F421" t="inlineStr">
        <is>
          <t>NORRBOTTENS LÄN</t>
        </is>
      </c>
      <c r="G421" t="inlineStr">
        <is>
          <t>KALIX</t>
        </is>
      </c>
      <c r="H421" t="inlineStr">
        <is>
          <t>SCA</t>
        </is>
      </c>
      <c r="I421" t="n">
        <v>2.2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29625-2026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46204</v>
      </c>
      <c r="E422" s="1" t="n">
        <v>46324</v>
      </c>
      <c r="F422" t="inlineStr">
        <is>
          <t>NORRBOTTENS LÄN</t>
        </is>
      </c>
      <c r="G422" t="inlineStr">
        <is>
          <t>KALIX</t>
        </is>
      </c>
      <c r="I422" t="n">
        <v>2.6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12601-2026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46091</v>
      </c>
      <c r="E423" s="1" t="n">
        <v>46324</v>
      </c>
      <c r="F423" t="inlineStr">
        <is>
          <t>NORRBOTTENS LÄN</t>
        </is>
      </c>
      <c r="G423" t="inlineStr">
        <is>
          <t>KALIX</t>
        </is>
      </c>
      <c r="I423" t="n">
        <v>2.7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13320-2026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46094</v>
      </c>
      <c r="E424" s="1" t="n">
        <v>46324</v>
      </c>
      <c r="F424" t="inlineStr">
        <is>
          <t>NORRBOTTENS LÄN</t>
        </is>
      </c>
      <c r="G424" t="inlineStr">
        <is>
          <t>KALIX</t>
        </is>
      </c>
      <c r="I424" t="n">
        <v>0.3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41661-2023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45175</v>
      </c>
      <c r="E425" s="1" t="n">
        <v>46324</v>
      </c>
      <c r="F425" t="inlineStr">
        <is>
          <t>NORRBOTTENS LÄN</t>
        </is>
      </c>
      <c r="G425" t="inlineStr">
        <is>
          <t>KALIX</t>
        </is>
      </c>
      <c r="H425" t="inlineStr">
        <is>
          <t>SCA</t>
        </is>
      </c>
      <c r="I425" t="n">
        <v>1.1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47154-2024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45586</v>
      </c>
      <c r="E426" s="1" t="n">
        <v>46324</v>
      </c>
      <c r="F426" t="inlineStr">
        <is>
          <t>NORRBOTTENS LÄN</t>
        </is>
      </c>
      <c r="G426" t="inlineStr">
        <is>
          <t>KALIX</t>
        </is>
      </c>
      <c r="I426" t="n">
        <v>4.8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13151-2026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46093</v>
      </c>
      <c r="E427" s="1" t="n">
        <v>46324</v>
      </c>
      <c r="F427" t="inlineStr">
        <is>
          <t>NORRBOTTENS LÄN</t>
        </is>
      </c>
      <c r="G427" t="inlineStr">
        <is>
          <t>KALIX</t>
        </is>
      </c>
      <c r="I427" t="n">
        <v>7.1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37582-2024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45541</v>
      </c>
      <c r="E428" s="1" t="n">
        <v>46324</v>
      </c>
      <c r="F428" t="inlineStr">
        <is>
          <t>NORRBOTTENS LÄN</t>
        </is>
      </c>
      <c r="G428" t="inlineStr">
        <is>
          <t>KALIX</t>
        </is>
      </c>
      <c r="I428" t="n">
        <v>8.4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58575-2022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44894</v>
      </c>
      <c r="E429" s="1" t="n">
        <v>46324</v>
      </c>
      <c r="F429" t="inlineStr">
        <is>
          <t>NORRBOTTENS LÄN</t>
        </is>
      </c>
      <c r="G429" t="inlineStr">
        <is>
          <t>KALIX</t>
        </is>
      </c>
      <c r="I429" t="n">
        <v>5.9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10073-2025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45719</v>
      </c>
      <c r="E430" s="1" t="n">
        <v>46324</v>
      </c>
      <c r="F430" t="inlineStr">
        <is>
          <t>NORRBOTTENS LÄN</t>
        </is>
      </c>
      <c r="G430" t="inlineStr">
        <is>
          <t>KALIX</t>
        </is>
      </c>
      <c r="I430" t="n">
        <v>3.7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16216-2024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45406</v>
      </c>
      <c r="E431" s="1" t="n">
        <v>46324</v>
      </c>
      <c r="F431" t="inlineStr">
        <is>
          <t>NORRBOTTENS LÄN</t>
        </is>
      </c>
      <c r="G431" t="inlineStr">
        <is>
          <t>KALIX</t>
        </is>
      </c>
      <c r="I431" t="n">
        <v>5.4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13619-2026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46097</v>
      </c>
      <c r="E432" s="1" t="n">
        <v>46324</v>
      </c>
      <c r="F432" t="inlineStr">
        <is>
          <t>NORRBOTTENS LÄN</t>
        </is>
      </c>
      <c r="G432" t="inlineStr">
        <is>
          <t>KALIX</t>
        </is>
      </c>
      <c r="I432" t="n">
        <v>1.5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39003-2023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45163</v>
      </c>
      <c r="E433" s="1" t="n">
        <v>46324</v>
      </c>
      <c r="F433" t="inlineStr">
        <is>
          <t>NORRBOTTENS LÄN</t>
        </is>
      </c>
      <c r="G433" t="inlineStr">
        <is>
          <t>KALIX</t>
        </is>
      </c>
      <c r="I433" t="n">
        <v>6.9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40515-2023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45170</v>
      </c>
      <c r="E434" s="1" t="n">
        <v>46324</v>
      </c>
      <c r="F434" t="inlineStr">
        <is>
          <t>NORRBOTTENS LÄN</t>
        </is>
      </c>
      <c r="G434" t="inlineStr">
        <is>
          <t>KALIX</t>
        </is>
      </c>
      <c r="I434" t="n">
        <v>3.7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58999-2023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45225</v>
      </c>
      <c r="E435" s="1" t="n">
        <v>46324</v>
      </c>
      <c r="F435" t="inlineStr">
        <is>
          <t>NORRBOTTENS LÄN</t>
        </is>
      </c>
      <c r="G435" t="inlineStr">
        <is>
          <t>KALIX</t>
        </is>
      </c>
      <c r="I435" t="n">
        <v>0.2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62139-2023</t>
        </is>
      </c>
      <c r="B436" t="inlineStr">
        <is>
          <t>avverkningsanmälan</t>
        </is>
      </c>
      <c r="C436" t="inlineStr">
        <is>
          <t>Avverkning för att bevara och utveckla /försöksver</t>
        </is>
      </c>
      <c r="D436" s="1" t="n">
        <v>45266</v>
      </c>
      <c r="E436" s="1" t="n">
        <v>46324</v>
      </c>
      <c r="F436" t="inlineStr">
        <is>
          <t>NORRBOTTENS LÄN</t>
        </is>
      </c>
      <c r="G436" t="inlineStr">
        <is>
          <t>KALIX</t>
        </is>
      </c>
      <c r="I436" t="n">
        <v>4.5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62150-2023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45266</v>
      </c>
      <c r="E437" s="1" t="n">
        <v>46324</v>
      </c>
      <c r="F437" t="inlineStr">
        <is>
          <t>NORRBOTTENS LÄN</t>
        </is>
      </c>
      <c r="G437" t="inlineStr">
        <is>
          <t>KALIX</t>
        </is>
      </c>
      <c r="I437" t="n">
        <v>4.9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30814-2023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45112</v>
      </c>
      <c r="E438" s="1" t="n">
        <v>46324</v>
      </c>
      <c r="F438" t="inlineStr">
        <is>
          <t>NORRBOTTENS LÄN</t>
        </is>
      </c>
      <c r="G438" t="inlineStr">
        <is>
          <t>KALIX</t>
        </is>
      </c>
      <c r="I438" t="n">
        <v>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46765-2023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45198</v>
      </c>
      <c r="E439" s="1" t="n">
        <v>46324</v>
      </c>
      <c r="F439" t="inlineStr">
        <is>
          <t>NORRBOTTENS LÄN</t>
        </is>
      </c>
      <c r="G439" t="inlineStr">
        <is>
          <t>KALIX</t>
        </is>
      </c>
      <c r="H439" t="inlineStr">
        <is>
          <t>Sveaskog</t>
        </is>
      </c>
      <c r="I439" t="n">
        <v>6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23878-2022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44722</v>
      </c>
      <c r="E440" s="1" t="n">
        <v>46324</v>
      </c>
      <c r="F440" t="inlineStr">
        <is>
          <t>NORRBOTTENS LÄN</t>
        </is>
      </c>
      <c r="G440" t="inlineStr">
        <is>
          <t>KALIX</t>
        </is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20350-2023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45054</v>
      </c>
      <c r="E441" s="1" t="n">
        <v>46324</v>
      </c>
      <c r="F441" t="inlineStr">
        <is>
          <t>NORRBOTTENS LÄN</t>
        </is>
      </c>
      <c r="G441" t="inlineStr">
        <is>
          <t>KALIX</t>
        </is>
      </c>
      <c r="I441" t="n">
        <v>5.1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17435-2023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45035</v>
      </c>
      <c r="E442" s="1" t="n">
        <v>46324</v>
      </c>
      <c r="F442" t="inlineStr">
        <is>
          <t>NORRBOTTENS LÄN</t>
        </is>
      </c>
      <c r="G442" t="inlineStr">
        <is>
          <t>KALIX</t>
        </is>
      </c>
      <c r="I442" t="n">
        <v>5.7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4199-2025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45685</v>
      </c>
      <c r="E443" s="1" t="n">
        <v>46324</v>
      </c>
      <c r="F443" t="inlineStr">
        <is>
          <t>NORRBOTTENS LÄN</t>
        </is>
      </c>
      <c r="G443" t="inlineStr">
        <is>
          <t>KALIX</t>
        </is>
      </c>
      <c r="I443" t="n">
        <v>1.1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15002-2026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46104</v>
      </c>
      <c r="E444" s="1" t="n">
        <v>46324</v>
      </c>
      <c r="F444" t="inlineStr">
        <is>
          <t>NORRBOTTENS LÄN</t>
        </is>
      </c>
      <c r="G444" t="inlineStr">
        <is>
          <t>KALIX</t>
        </is>
      </c>
      <c r="I444" t="n">
        <v>2.8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62444-2022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44924</v>
      </c>
      <c r="E445" s="1" t="n">
        <v>46324</v>
      </c>
      <c r="F445" t="inlineStr">
        <is>
          <t>NORRBOTTENS LÄN</t>
        </is>
      </c>
      <c r="G445" t="inlineStr">
        <is>
          <t>KALIX</t>
        </is>
      </c>
      <c r="I445" t="n">
        <v>1.4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17661-2023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45036</v>
      </c>
      <c r="E446" s="1" t="n">
        <v>46324</v>
      </c>
      <c r="F446" t="inlineStr">
        <is>
          <t>NORRBOTTENS LÄN</t>
        </is>
      </c>
      <c r="G446" t="inlineStr">
        <is>
          <t>KALIX</t>
        </is>
      </c>
      <c r="I446" t="n">
        <v>2.7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15584-2026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46106</v>
      </c>
      <c r="E447" s="1" t="n">
        <v>46324</v>
      </c>
      <c r="F447" t="inlineStr">
        <is>
          <t>NORRBOTTENS LÄN</t>
        </is>
      </c>
      <c r="G447" t="inlineStr">
        <is>
          <t>KALIX</t>
        </is>
      </c>
      <c r="I447" t="n">
        <v>2.4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15594-2026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46106</v>
      </c>
      <c r="E448" s="1" t="n">
        <v>46324</v>
      </c>
      <c r="F448" t="inlineStr">
        <is>
          <t>NORRBOTTENS LÄN</t>
        </is>
      </c>
      <c r="G448" t="inlineStr">
        <is>
          <t>KALIX</t>
        </is>
      </c>
      <c r="I448" t="n">
        <v>1.4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15618-2026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46106</v>
      </c>
      <c r="E449" s="1" t="n">
        <v>46324</v>
      </c>
      <c r="F449" t="inlineStr">
        <is>
          <t>NORRBOTTENS LÄN</t>
        </is>
      </c>
      <c r="G449" t="inlineStr">
        <is>
          <t>KALIX</t>
        </is>
      </c>
      <c r="I449" t="n">
        <v>3.1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20895-2025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45777</v>
      </c>
      <c r="E450" s="1" t="n">
        <v>46324</v>
      </c>
      <c r="F450" t="inlineStr">
        <is>
          <t>NORRBOTTENS LÄN</t>
        </is>
      </c>
      <c r="G450" t="inlineStr">
        <is>
          <t>KALIX</t>
        </is>
      </c>
      <c r="I450" t="n">
        <v>1.2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46196-2023</t>
        </is>
      </c>
      <c r="B451" t="inlineStr">
        <is>
          <t>avverkningsanmälan</t>
        </is>
      </c>
      <c r="C451" t="inlineStr">
        <is>
          <t>Föryngringsavverkning</t>
        </is>
      </c>
      <c r="D451" s="1" t="n">
        <v>45190</v>
      </c>
      <c r="E451" s="1" t="n">
        <v>46324</v>
      </c>
      <c r="F451" t="inlineStr">
        <is>
          <t>NORRBOTTENS LÄN</t>
        </is>
      </c>
      <c r="G451" t="inlineStr">
        <is>
          <t>KALIX</t>
        </is>
      </c>
      <c r="I451" t="n">
        <v>1.4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31463-2026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46221</v>
      </c>
      <c r="E452" s="1" t="n">
        <v>46324</v>
      </c>
      <c r="F452" t="inlineStr">
        <is>
          <t>NORRBOTTENS LÄN</t>
        </is>
      </c>
      <c r="G452" t="inlineStr">
        <is>
          <t>KALIX</t>
        </is>
      </c>
      <c r="I452" t="n">
        <v>1.4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22216-2025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45785</v>
      </c>
      <c r="E453" s="1" t="n">
        <v>46324</v>
      </c>
      <c r="F453" t="inlineStr">
        <is>
          <t>NORRBOTTENS LÄN</t>
        </is>
      </c>
      <c r="G453" t="inlineStr">
        <is>
          <t>KALIX</t>
        </is>
      </c>
      <c r="H453" t="inlineStr">
        <is>
          <t>SCA</t>
        </is>
      </c>
      <c r="I453" t="n">
        <v>20.9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10049-2025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45719</v>
      </c>
      <c r="E454" s="1" t="n">
        <v>46324</v>
      </c>
      <c r="F454" t="inlineStr">
        <is>
          <t>NORRBOTTENS LÄN</t>
        </is>
      </c>
      <c r="G454" t="inlineStr">
        <is>
          <t>KALIX</t>
        </is>
      </c>
      <c r="I454" t="n">
        <v>7.5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17877-2026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46122</v>
      </c>
      <c r="E455" s="1" t="n">
        <v>46324</v>
      </c>
      <c r="F455" t="inlineStr">
        <is>
          <t>NORRBOTTENS LÄN</t>
        </is>
      </c>
      <c r="G455" t="inlineStr">
        <is>
          <t>KALIX</t>
        </is>
      </c>
      <c r="I455" t="n">
        <v>2.3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21875-2025</t>
        </is>
      </c>
      <c r="B456" t="inlineStr">
        <is>
          <t>avverkningsanmälan</t>
        </is>
      </c>
      <c r="C456" t="inlineStr">
        <is>
          <t>Avverkning för annat ändamål</t>
        </is>
      </c>
      <c r="D456" s="1" t="n">
        <v>45784</v>
      </c>
      <c r="E456" s="1" t="n">
        <v>46324</v>
      </c>
      <c r="F456" t="inlineStr">
        <is>
          <t>NORRBOTTENS LÄN</t>
        </is>
      </c>
      <c r="G456" t="inlineStr">
        <is>
          <t>KALIX</t>
        </is>
      </c>
      <c r="I456" t="n">
        <v>0.8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16046-2024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45405</v>
      </c>
      <c r="E457" s="1" t="n">
        <v>46324</v>
      </c>
      <c r="F457" t="inlineStr">
        <is>
          <t>NORRBOTTENS LÄN</t>
        </is>
      </c>
      <c r="G457" t="inlineStr">
        <is>
          <t>KALIX</t>
        </is>
      </c>
      <c r="I457" t="n">
        <v>13.5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19527-2024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45429</v>
      </c>
      <c r="E458" s="1" t="n">
        <v>46324</v>
      </c>
      <c r="F458" t="inlineStr">
        <is>
          <t>NORRBOTTENS LÄN</t>
        </is>
      </c>
      <c r="G458" t="inlineStr">
        <is>
          <t>KALIX</t>
        </is>
      </c>
      <c r="I458" t="n">
        <v>0.8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15823-2025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45748</v>
      </c>
      <c r="E459" s="1" t="n">
        <v>46324</v>
      </c>
      <c r="F459" t="inlineStr">
        <is>
          <t>NORRBOTTENS LÄN</t>
        </is>
      </c>
      <c r="G459" t="inlineStr">
        <is>
          <t>KALIX</t>
        </is>
      </c>
      <c r="H459" t="inlineStr">
        <is>
          <t>SCA</t>
        </is>
      </c>
      <c r="I459" t="n">
        <v>5.8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62443-2023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45268</v>
      </c>
      <c r="E460" s="1" t="n">
        <v>46324</v>
      </c>
      <c r="F460" t="inlineStr">
        <is>
          <t>NORRBOTTENS LÄN</t>
        </is>
      </c>
      <c r="G460" t="inlineStr">
        <is>
          <t>KALIX</t>
        </is>
      </c>
      <c r="I460" t="n">
        <v>2.7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31667-2026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46225</v>
      </c>
      <c r="E461" s="1" t="n">
        <v>46324</v>
      </c>
      <c r="F461" t="inlineStr">
        <is>
          <t>NORRBOTTENS LÄN</t>
        </is>
      </c>
      <c r="G461" t="inlineStr">
        <is>
          <t>KALIX</t>
        </is>
      </c>
      <c r="I461" t="n">
        <v>0.5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18815-2026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46128</v>
      </c>
      <c r="E462" s="1" t="n">
        <v>46324</v>
      </c>
      <c r="F462" t="inlineStr">
        <is>
          <t>NORRBOTTENS LÄN</t>
        </is>
      </c>
      <c r="G462" t="inlineStr">
        <is>
          <t>KALIX</t>
        </is>
      </c>
      <c r="H462" t="inlineStr">
        <is>
          <t>SCA</t>
        </is>
      </c>
      <c r="I462" t="n">
        <v>0.9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62525-2022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44917</v>
      </c>
      <c r="E463" s="1" t="n">
        <v>46324</v>
      </c>
      <c r="F463" t="inlineStr">
        <is>
          <t>NORRBOTTENS LÄN</t>
        </is>
      </c>
      <c r="G463" t="inlineStr">
        <is>
          <t>KALIX</t>
        </is>
      </c>
      <c r="I463" t="n">
        <v>2.7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32116-2026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46233</v>
      </c>
      <c r="E464" s="1" t="n">
        <v>46324</v>
      </c>
      <c r="F464" t="inlineStr">
        <is>
          <t>NORRBOTTENS LÄN</t>
        </is>
      </c>
      <c r="G464" t="inlineStr">
        <is>
          <t>KALIX</t>
        </is>
      </c>
      <c r="I464" t="n">
        <v>5.5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32114-2026</t>
        </is>
      </c>
      <c r="B465" t="inlineStr">
        <is>
          <t>avverkningsanmälan</t>
        </is>
      </c>
      <c r="C465" t="inlineStr">
        <is>
          <t>Avverkning för annat ändamål</t>
        </is>
      </c>
      <c r="D465" s="1" t="n">
        <v>46233</v>
      </c>
      <c r="E465" s="1" t="n">
        <v>46324</v>
      </c>
      <c r="F465" t="inlineStr">
        <is>
          <t>NORRBOTTENS LÄN</t>
        </is>
      </c>
      <c r="G465" t="inlineStr">
        <is>
          <t>KALIX</t>
        </is>
      </c>
      <c r="I465" t="n">
        <v>0.6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32106-2026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46234</v>
      </c>
      <c r="E466" s="1" t="n">
        <v>46324</v>
      </c>
      <c r="F466" t="inlineStr">
        <is>
          <t>NORRBOTTENS LÄN</t>
        </is>
      </c>
      <c r="G466" t="inlineStr">
        <is>
          <t>KALIX</t>
        </is>
      </c>
      <c r="H466" t="inlineStr">
        <is>
          <t>Sveaskog</t>
        </is>
      </c>
      <c r="I466" t="n">
        <v>2.9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19782-2026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46135</v>
      </c>
      <c r="E467" s="1" t="n">
        <v>46324</v>
      </c>
      <c r="F467" t="inlineStr">
        <is>
          <t>NORRBOTTENS LÄN</t>
        </is>
      </c>
      <c r="G467" t="inlineStr">
        <is>
          <t>KALIX</t>
        </is>
      </c>
      <c r="I467" t="n">
        <v>5.2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19787-2026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46135</v>
      </c>
      <c r="E468" s="1" t="n">
        <v>46324</v>
      </c>
      <c r="F468" t="inlineStr">
        <is>
          <t>NORRBOTTENS LÄN</t>
        </is>
      </c>
      <c r="G468" t="inlineStr">
        <is>
          <t>KALIX</t>
        </is>
      </c>
      <c r="I468" t="n">
        <v>2.4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32320-2026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46238</v>
      </c>
      <c r="E469" s="1" t="n">
        <v>46324</v>
      </c>
      <c r="F469" t="inlineStr">
        <is>
          <t>NORRBOTTENS LÄN</t>
        </is>
      </c>
      <c r="G469" t="inlineStr">
        <is>
          <t>KALIX</t>
        </is>
      </c>
      <c r="I469" t="n">
        <v>8.800000000000001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19690-2026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46134</v>
      </c>
      <c r="E470" s="1" t="n">
        <v>46324</v>
      </c>
      <c r="F470" t="inlineStr">
        <is>
          <t>NORRBOTTENS LÄN</t>
        </is>
      </c>
      <c r="G470" t="inlineStr">
        <is>
          <t>KALIX</t>
        </is>
      </c>
      <c r="H470" t="inlineStr">
        <is>
          <t>SCA</t>
        </is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19684-2026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46134</v>
      </c>
      <c r="E471" s="1" t="n">
        <v>46324</v>
      </c>
      <c r="F471" t="inlineStr">
        <is>
          <t>NORRBOTTENS LÄN</t>
        </is>
      </c>
      <c r="G471" t="inlineStr">
        <is>
          <t>KALIX</t>
        </is>
      </c>
      <c r="H471" t="inlineStr">
        <is>
          <t>SCA</t>
        </is>
      </c>
      <c r="I471" t="n">
        <v>17.5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32327-2026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46238</v>
      </c>
      <c r="E472" s="1" t="n">
        <v>46324</v>
      </c>
      <c r="F472" t="inlineStr">
        <is>
          <t>NORRBOTTENS LÄN</t>
        </is>
      </c>
      <c r="G472" t="inlineStr">
        <is>
          <t>KALIX</t>
        </is>
      </c>
      <c r="I472" t="n">
        <v>1.1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23027-2025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45790</v>
      </c>
      <c r="E473" s="1" t="n">
        <v>46324</v>
      </c>
      <c r="F473" t="inlineStr">
        <is>
          <t>NORRBOTTENS LÄN</t>
        </is>
      </c>
      <c r="G473" t="inlineStr">
        <is>
          <t>KALIX</t>
        </is>
      </c>
      <c r="H473" t="inlineStr">
        <is>
          <t>SCA</t>
        </is>
      </c>
      <c r="I473" t="n">
        <v>3.9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32328-2026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46238</v>
      </c>
      <c r="E474" s="1" t="n">
        <v>46324</v>
      </c>
      <c r="F474" t="inlineStr">
        <is>
          <t>NORRBOTTENS LÄN</t>
        </is>
      </c>
      <c r="G474" t="inlineStr">
        <is>
          <t>KALIX</t>
        </is>
      </c>
      <c r="I474" t="n">
        <v>4.3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32333-2026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46238</v>
      </c>
      <c r="E475" s="1" t="n">
        <v>46324</v>
      </c>
      <c r="F475" t="inlineStr">
        <is>
          <t>NORRBOTTENS LÄN</t>
        </is>
      </c>
      <c r="G475" t="inlineStr">
        <is>
          <t>KALIX</t>
        </is>
      </c>
      <c r="I475" t="n">
        <v>11.5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1262-2025</t>
        </is>
      </c>
      <c r="B476" t="inlineStr">
        <is>
          <t>avverkningsanmälan</t>
        </is>
      </c>
      <c r="C476" t="inlineStr">
        <is>
          <t>Avverkning för annat ändamål</t>
        </is>
      </c>
      <c r="D476" s="1" t="n">
        <v>45667</v>
      </c>
      <c r="E476" s="1" t="n">
        <v>46324</v>
      </c>
      <c r="F476" t="inlineStr">
        <is>
          <t>NORRBOTTENS LÄN</t>
        </is>
      </c>
      <c r="G476" t="inlineStr">
        <is>
          <t>KALIX</t>
        </is>
      </c>
      <c r="I476" t="n">
        <v>0.7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47099-2023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45201</v>
      </c>
      <c r="E477" s="1" t="n">
        <v>46324</v>
      </c>
      <c r="F477" t="inlineStr">
        <is>
          <t>NORRBOTTENS LÄN</t>
        </is>
      </c>
      <c r="G477" t="inlineStr">
        <is>
          <t>KALIX</t>
        </is>
      </c>
      <c r="I477" t="n">
        <v>3.6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22480-2024</t>
        </is>
      </c>
      <c r="B478" t="inlineStr">
        <is>
          <t>avverkningsanmälan</t>
        </is>
      </c>
      <c r="C478" t="inlineStr">
        <is>
          <t>Avverkning för annat ändamål</t>
        </is>
      </c>
      <c r="D478" s="1" t="n">
        <v>45446</v>
      </c>
      <c r="E478" s="1" t="n">
        <v>46324</v>
      </c>
      <c r="F478" t="inlineStr">
        <is>
          <t>NORRBOTTENS LÄN</t>
        </is>
      </c>
      <c r="G478" t="inlineStr">
        <is>
          <t>KALIX</t>
        </is>
      </c>
      <c r="H478" t="inlineStr">
        <is>
          <t>SCA</t>
        </is>
      </c>
      <c r="I478" t="n">
        <v>1.6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38433-2026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46282</v>
      </c>
      <c r="E479" s="1" t="n">
        <v>46324</v>
      </c>
      <c r="F479" t="inlineStr">
        <is>
          <t>NORRBOTTENS LÄN</t>
        </is>
      </c>
      <c r="G479" t="inlineStr">
        <is>
          <t>KALIX</t>
        </is>
      </c>
      <c r="I479" t="n">
        <v>8.699999999999999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38427-2026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46282</v>
      </c>
      <c r="E480" s="1" t="n">
        <v>46324</v>
      </c>
      <c r="F480" t="inlineStr">
        <is>
          <t>NORRBOTTENS LÄN</t>
        </is>
      </c>
      <c r="G480" t="inlineStr">
        <is>
          <t>KALIX</t>
        </is>
      </c>
      <c r="H480" t="inlineStr">
        <is>
          <t>SCA</t>
        </is>
      </c>
      <c r="I480" t="n">
        <v>4.4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589-2026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46029</v>
      </c>
      <c r="E481" s="1" t="n">
        <v>46324</v>
      </c>
      <c r="F481" t="inlineStr">
        <is>
          <t>NORRBOTTENS LÄN</t>
        </is>
      </c>
      <c r="G481" t="inlineStr">
        <is>
          <t>KALIX</t>
        </is>
      </c>
      <c r="I481" t="n">
        <v>11.9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39196-2026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46286</v>
      </c>
      <c r="E482" s="1" t="n">
        <v>46324</v>
      </c>
      <c r="F482" t="inlineStr">
        <is>
          <t>NORRBOTTENS LÄN</t>
        </is>
      </c>
      <c r="G482" t="inlineStr">
        <is>
          <t>KALIX</t>
        </is>
      </c>
      <c r="I482" t="n">
        <v>7.3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38941-2026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46286</v>
      </c>
      <c r="E483" s="1" t="n">
        <v>46324</v>
      </c>
      <c r="F483" t="inlineStr">
        <is>
          <t>NORRBOTTENS LÄN</t>
        </is>
      </c>
      <c r="G483" t="inlineStr">
        <is>
          <t>KALIX</t>
        </is>
      </c>
      <c r="I483" t="n">
        <v>3.6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38801-2026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46286</v>
      </c>
      <c r="E484" s="1" t="n">
        <v>46324</v>
      </c>
      <c r="F484" t="inlineStr">
        <is>
          <t>NORRBOTTENS LÄN</t>
        </is>
      </c>
      <c r="G484" t="inlineStr">
        <is>
          <t>KALIX</t>
        </is>
      </c>
      <c r="I484" t="n">
        <v>3.4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38950-2026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46286</v>
      </c>
      <c r="E485" s="1" t="n">
        <v>46324</v>
      </c>
      <c r="F485" t="inlineStr">
        <is>
          <t>NORRBOTTENS LÄN</t>
        </is>
      </c>
      <c r="G485" t="inlineStr">
        <is>
          <t>KALIX</t>
        </is>
      </c>
      <c r="I485" t="n">
        <v>9.6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38799-2026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46286</v>
      </c>
      <c r="E486" s="1" t="n">
        <v>46324</v>
      </c>
      <c r="F486" t="inlineStr">
        <is>
          <t>NORRBOTTENS LÄN</t>
        </is>
      </c>
      <c r="G486" t="inlineStr">
        <is>
          <t>KALIX</t>
        </is>
      </c>
      <c r="I486" t="n">
        <v>0.7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39614-2026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46289</v>
      </c>
      <c r="E487" s="1" t="n">
        <v>46324</v>
      </c>
      <c r="F487" t="inlineStr">
        <is>
          <t>NORRBOTTENS LÄN</t>
        </is>
      </c>
      <c r="G487" t="inlineStr">
        <is>
          <t>KALIX</t>
        </is>
      </c>
      <c r="H487" t="inlineStr">
        <is>
          <t>SCA</t>
        </is>
      </c>
      <c r="I487" t="n">
        <v>3.3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33304-2026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46246</v>
      </c>
      <c r="E488" s="1" t="n">
        <v>46324</v>
      </c>
      <c r="F488" t="inlineStr">
        <is>
          <t>NORRBOTTENS LÄN</t>
        </is>
      </c>
      <c r="G488" t="inlineStr">
        <is>
          <t>KALIX</t>
        </is>
      </c>
      <c r="I488" t="n">
        <v>8.800000000000001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39431-2026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46288</v>
      </c>
      <c r="E489" s="1" t="n">
        <v>46324</v>
      </c>
      <c r="F489" t="inlineStr">
        <is>
          <t>NORRBOTTENS LÄN</t>
        </is>
      </c>
      <c r="G489" t="inlineStr">
        <is>
          <t>KALIX</t>
        </is>
      </c>
      <c r="H489" t="inlineStr">
        <is>
          <t>SCA</t>
        </is>
      </c>
      <c r="I489" t="n">
        <v>2.5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39430-2026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46288</v>
      </c>
      <c r="E490" s="1" t="n">
        <v>46324</v>
      </c>
      <c r="F490" t="inlineStr">
        <is>
          <t>NORRBOTTENS LÄN</t>
        </is>
      </c>
      <c r="G490" t="inlineStr">
        <is>
          <t>KALIX</t>
        </is>
      </c>
      <c r="H490" t="inlineStr">
        <is>
          <t>SCA</t>
        </is>
      </c>
      <c r="I490" t="n">
        <v>1.9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39634-2026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46289</v>
      </c>
      <c r="E491" s="1" t="n">
        <v>46324</v>
      </c>
      <c r="F491" t="inlineStr">
        <is>
          <t>NORRBOTTENS LÄN</t>
        </is>
      </c>
      <c r="G491" t="inlineStr">
        <is>
          <t>KALIX</t>
        </is>
      </c>
      <c r="H491" t="inlineStr">
        <is>
          <t>SCA</t>
        </is>
      </c>
      <c r="I491" t="n">
        <v>0.8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17583-2024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45415</v>
      </c>
      <c r="E492" s="1" t="n">
        <v>46324</v>
      </c>
      <c r="F492" t="inlineStr">
        <is>
          <t>NORRBOTTENS LÄN</t>
        </is>
      </c>
      <c r="G492" t="inlineStr">
        <is>
          <t>KALIX</t>
        </is>
      </c>
      <c r="I492" t="n">
        <v>2.1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33297-2026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46246</v>
      </c>
      <c r="E493" s="1" t="n">
        <v>46324</v>
      </c>
      <c r="F493" t="inlineStr">
        <is>
          <t>NORRBOTTENS LÄN</t>
        </is>
      </c>
      <c r="G493" t="inlineStr">
        <is>
          <t>KALIX</t>
        </is>
      </c>
      <c r="I493" t="n">
        <v>19.3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33657-2026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46248</v>
      </c>
      <c r="E494" s="1" t="n">
        <v>46324</v>
      </c>
      <c r="F494" t="inlineStr">
        <is>
          <t>NORRBOTTENS LÄN</t>
        </is>
      </c>
      <c r="G494" t="inlineStr">
        <is>
          <t>KALIX</t>
        </is>
      </c>
      <c r="I494" t="n">
        <v>3.7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62979-2025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46009</v>
      </c>
      <c r="E495" s="1" t="n">
        <v>46324</v>
      </c>
      <c r="F495" t="inlineStr">
        <is>
          <t>NORRBOTTENS LÄN</t>
        </is>
      </c>
      <c r="G495" t="inlineStr">
        <is>
          <t>KALIX</t>
        </is>
      </c>
      <c r="I495" t="n">
        <v>5.2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9193-2026</t>
        </is>
      </c>
      <c r="B496" t="inlineStr">
        <is>
          <t>avverkningsanmälan</t>
        </is>
      </c>
      <c r="C496" t="inlineStr">
        <is>
          <t>Avverkning för annat ändamål</t>
        </is>
      </c>
      <c r="D496" s="1" t="n">
        <v>46070</v>
      </c>
      <c r="E496" s="1" t="n">
        <v>46324</v>
      </c>
      <c r="F496" t="inlineStr">
        <is>
          <t>NORRBOTTENS LÄN</t>
        </is>
      </c>
      <c r="G496" t="inlineStr">
        <is>
          <t>KALIX</t>
        </is>
      </c>
      <c r="H496" t="inlineStr">
        <is>
          <t>SCA</t>
        </is>
      </c>
      <c r="I496" t="n">
        <v>8.800000000000001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61939-2025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46003</v>
      </c>
      <c r="E497" s="1" t="n">
        <v>46324</v>
      </c>
      <c r="F497" t="inlineStr">
        <is>
          <t>NORRBOTTENS LÄN</t>
        </is>
      </c>
      <c r="G497" t="inlineStr">
        <is>
          <t>KALIX</t>
        </is>
      </c>
      <c r="I497" t="n">
        <v>1.6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8299-2025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45708</v>
      </c>
      <c r="E498" s="1" t="n">
        <v>46324</v>
      </c>
      <c r="F498" t="inlineStr">
        <is>
          <t>NORRBOTTENS LÄN</t>
        </is>
      </c>
      <c r="G498" t="inlineStr">
        <is>
          <t>KALIX</t>
        </is>
      </c>
      <c r="I498" t="n">
        <v>16.2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60096-2025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45993</v>
      </c>
      <c r="E499" s="1" t="n">
        <v>46324</v>
      </c>
      <c r="F499" t="inlineStr">
        <is>
          <t>NORRBOTTENS LÄN</t>
        </is>
      </c>
      <c r="G499" t="inlineStr">
        <is>
          <t>KALIX</t>
        </is>
      </c>
      <c r="I499" t="n">
        <v>1.9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5920-2026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46052</v>
      </c>
      <c r="E500" s="1" t="n">
        <v>46324</v>
      </c>
      <c r="F500" t="inlineStr">
        <is>
          <t>NORRBOTTENS LÄN</t>
        </is>
      </c>
      <c r="G500" t="inlineStr">
        <is>
          <t>KALIX</t>
        </is>
      </c>
      <c r="I500" t="n">
        <v>7.9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762-2025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45665</v>
      </c>
      <c r="E501" s="1" t="n">
        <v>46324</v>
      </c>
      <c r="F501" t="inlineStr">
        <is>
          <t>NORRBOTTENS LÄN</t>
        </is>
      </c>
      <c r="G501" t="inlineStr">
        <is>
          <t>KALIX</t>
        </is>
      </c>
      <c r="I501" t="n">
        <v>3.9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2629-2022</t>
        </is>
      </c>
      <c r="B502" t="inlineStr">
        <is>
          <t>avverkningsanmälan</t>
        </is>
      </c>
      <c r="C502" t="inlineStr">
        <is>
          <t>Föryngringsavverkning</t>
        </is>
      </c>
      <c r="D502" s="1" t="n">
        <v>44580</v>
      </c>
      <c r="E502" s="1" t="n">
        <v>46324</v>
      </c>
      <c r="F502" t="inlineStr">
        <is>
          <t>NORRBOTTENS LÄN</t>
        </is>
      </c>
      <c r="G502" t="inlineStr">
        <is>
          <t>KALIX</t>
        </is>
      </c>
      <c r="I502" t="n">
        <v>4.5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39858-2026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46290</v>
      </c>
      <c r="E503" s="1" t="n">
        <v>46324</v>
      </c>
      <c r="F503" t="inlineStr">
        <is>
          <t>NORRBOTTENS LÄN</t>
        </is>
      </c>
      <c r="G503" t="inlineStr">
        <is>
          <t>KALIX</t>
        </is>
      </c>
      <c r="I503" t="n">
        <v>3.8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7712-2025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45706</v>
      </c>
      <c r="E504" s="1" t="n">
        <v>46324</v>
      </c>
      <c r="F504" t="inlineStr">
        <is>
          <t>NORRBOTTENS LÄN</t>
        </is>
      </c>
      <c r="G504" t="inlineStr">
        <is>
          <t>KALIX</t>
        </is>
      </c>
      <c r="H504" t="inlineStr">
        <is>
          <t>SCA</t>
        </is>
      </c>
      <c r="I504" t="n">
        <v>1.2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61945-2025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46003</v>
      </c>
      <c r="E505" s="1" t="n">
        <v>46324</v>
      </c>
      <c r="F505" t="inlineStr">
        <is>
          <t>NORRBOTTENS LÄN</t>
        </is>
      </c>
      <c r="G505" t="inlineStr">
        <is>
          <t>KALIX</t>
        </is>
      </c>
      <c r="I505" t="n">
        <v>2.3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59018-2022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44903</v>
      </c>
      <c r="E506" s="1" t="n">
        <v>46324</v>
      </c>
      <c r="F506" t="inlineStr">
        <is>
          <t>NORRBOTTENS LÄN</t>
        </is>
      </c>
      <c r="G506" t="inlineStr">
        <is>
          <t>KALIX</t>
        </is>
      </c>
      <c r="I506" t="n">
        <v>17.8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39857-2026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46290</v>
      </c>
      <c r="E507" s="1" t="n">
        <v>46324</v>
      </c>
      <c r="F507" t="inlineStr">
        <is>
          <t>NORRBOTTENS LÄN</t>
        </is>
      </c>
      <c r="G507" t="inlineStr">
        <is>
          <t>KALIX</t>
        </is>
      </c>
      <c r="I507" t="n">
        <v>2.3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33312-2026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46246</v>
      </c>
      <c r="E508" s="1" t="n">
        <v>46324</v>
      </c>
      <c r="F508" t="inlineStr">
        <is>
          <t>NORRBOTTENS LÄN</t>
        </is>
      </c>
      <c r="G508" t="inlineStr">
        <is>
          <t>KALIX</t>
        </is>
      </c>
      <c r="I508" t="n">
        <v>2.4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58578-2023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45246</v>
      </c>
      <c r="E509" s="1" t="n">
        <v>46324</v>
      </c>
      <c r="F509" t="inlineStr">
        <is>
          <t>NORRBOTTENS LÄN</t>
        </is>
      </c>
      <c r="G509" t="inlineStr">
        <is>
          <t>KALIX</t>
        </is>
      </c>
      <c r="I509" t="n">
        <v>1.1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34066-2026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46252</v>
      </c>
      <c r="E510" s="1" t="n">
        <v>46324</v>
      </c>
      <c r="F510" t="inlineStr">
        <is>
          <t>NORRBOTTENS LÄN</t>
        </is>
      </c>
      <c r="G510" t="inlineStr">
        <is>
          <t>KALIX</t>
        </is>
      </c>
      <c r="I510" t="n">
        <v>1.5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8283-2025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45708</v>
      </c>
      <c r="E511" s="1" t="n">
        <v>46324</v>
      </c>
      <c r="F511" t="inlineStr">
        <is>
          <t>NORRBOTTENS LÄN</t>
        </is>
      </c>
      <c r="G511" t="inlineStr">
        <is>
          <t>KALIX</t>
        </is>
      </c>
      <c r="I511" t="n">
        <v>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33913-2026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46252</v>
      </c>
      <c r="E512" s="1" t="n">
        <v>46324</v>
      </c>
      <c r="F512" t="inlineStr">
        <is>
          <t>NORRBOTTENS LÄN</t>
        </is>
      </c>
      <c r="G512" t="inlineStr">
        <is>
          <t>KALIX</t>
        </is>
      </c>
      <c r="I512" t="n">
        <v>14.5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33992-2026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46252</v>
      </c>
      <c r="E513" s="1" t="n">
        <v>46324</v>
      </c>
      <c r="F513" t="inlineStr">
        <is>
          <t>NORRBOTTENS LÄN</t>
        </is>
      </c>
      <c r="G513" t="inlineStr">
        <is>
          <t>KALIX</t>
        </is>
      </c>
      <c r="I513" t="n">
        <v>3.4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40273-2026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46294</v>
      </c>
      <c r="E514" s="1" t="n">
        <v>46324</v>
      </c>
      <c r="F514" t="inlineStr">
        <is>
          <t>NORRBOTTENS LÄN</t>
        </is>
      </c>
      <c r="G514" t="inlineStr">
        <is>
          <t>KALIX</t>
        </is>
      </c>
      <c r="I514" t="n">
        <v>6.9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34056-2026</t>
        </is>
      </c>
      <c r="B515" t="inlineStr">
        <is>
          <t>avverkningsanmälan</t>
        </is>
      </c>
      <c r="C515" t="inlineStr">
        <is>
          <t>Föryngringsavverkning</t>
        </is>
      </c>
      <c r="D515" s="1" t="n">
        <v>46252</v>
      </c>
      <c r="E515" s="1" t="n">
        <v>46324</v>
      </c>
      <c r="F515" t="inlineStr">
        <is>
          <t>NORRBOTTENS LÄN</t>
        </is>
      </c>
      <c r="G515" t="inlineStr">
        <is>
          <t>KALIX</t>
        </is>
      </c>
      <c r="I515" t="n">
        <v>1.5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1267-2023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44936</v>
      </c>
      <c r="E516" s="1" t="n">
        <v>46324</v>
      </c>
      <c r="F516" t="inlineStr">
        <is>
          <t>NORRBOTTENS LÄN</t>
        </is>
      </c>
      <c r="G516" t="inlineStr">
        <is>
          <t>KALIX</t>
        </is>
      </c>
      <c r="I516" t="n">
        <v>0.6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47429-2025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45930</v>
      </c>
      <c r="E517" s="1" t="n">
        <v>46324</v>
      </c>
      <c r="F517" t="inlineStr">
        <is>
          <t>NORRBOTTENS LÄN</t>
        </is>
      </c>
      <c r="G517" t="inlineStr">
        <is>
          <t>KALIX</t>
        </is>
      </c>
      <c r="I517" t="n">
        <v>2.1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60508-2023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45259</v>
      </c>
      <c r="E518" s="1" t="n">
        <v>46324</v>
      </c>
      <c r="F518" t="inlineStr">
        <is>
          <t>NORRBOTTENS LÄN</t>
        </is>
      </c>
      <c r="G518" t="inlineStr">
        <is>
          <t>KALIX</t>
        </is>
      </c>
      <c r="I518" t="n">
        <v>0.8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45218-2023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45191</v>
      </c>
      <c r="E519" s="1" t="n">
        <v>46324</v>
      </c>
      <c r="F519" t="inlineStr">
        <is>
          <t>NORRBOTTENS LÄN</t>
        </is>
      </c>
      <c r="G519" t="inlineStr">
        <is>
          <t>KALIX</t>
        </is>
      </c>
      <c r="I519" t="n">
        <v>1.5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7234-2026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46058</v>
      </c>
      <c r="E520" s="1" t="n">
        <v>46324</v>
      </c>
      <c r="F520" t="inlineStr">
        <is>
          <t>NORRBOTTENS LÄN</t>
        </is>
      </c>
      <c r="G520" t="inlineStr">
        <is>
          <t>KALIX</t>
        </is>
      </c>
      <c r="I520" t="n">
        <v>1.9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13380-2023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45005</v>
      </c>
      <c r="E521" s="1" t="n">
        <v>46324</v>
      </c>
      <c r="F521" t="inlineStr">
        <is>
          <t>NORRBOTTENS LÄN</t>
        </is>
      </c>
      <c r="G521" t="inlineStr">
        <is>
          <t>KALIX</t>
        </is>
      </c>
      <c r="I521" t="n">
        <v>2.4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40779-2026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46296</v>
      </c>
      <c r="E522" s="1" t="n">
        <v>46324</v>
      </c>
      <c r="F522" t="inlineStr">
        <is>
          <t>NORRBOTTENS LÄN</t>
        </is>
      </c>
      <c r="G522" t="inlineStr">
        <is>
          <t>KALIX</t>
        </is>
      </c>
      <c r="H522" t="inlineStr">
        <is>
          <t>SCA</t>
        </is>
      </c>
      <c r="I522" t="n">
        <v>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25019-2024</t>
        </is>
      </c>
      <c r="B523" t="inlineStr">
        <is>
          <t>avverkningsanmälan</t>
        </is>
      </c>
      <c r="C523" t="inlineStr">
        <is>
          <t>Avverkning för annat ändamål</t>
        </is>
      </c>
      <c r="D523" s="1" t="n">
        <v>45461</v>
      </c>
      <c r="E523" s="1" t="n">
        <v>46324</v>
      </c>
      <c r="F523" t="inlineStr">
        <is>
          <t>NORRBOTTENS LÄN</t>
        </is>
      </c>
      <c r="G523" t="inlineStr">
        <is>
          <t>KALIX</t>
        </is>
      </c>
      <c r="I523" t="n">
        <v>1.1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34371-2026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46254</v>
      </c>
      <c r="E524" s="1" t="n">
        <v>46324</v>
      </c>
      <c r="F524" t="inlineStr">
        <is>
          <t>NORRBOTTENS LÄN</t>
        </is>
      </c>
      <c r="G524" t="inlineStr">
        <is>
          <t>KALIX</t>
        </is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3680-2024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45321</v>
      </c>
      <c r="E525" s="1" t="n">
        <v>46324</v>
      </c>
      <c r="F525" t="inlineStr">
        <is>
          <t>NORRBOTTENS LÄN</t>
        </is>
      </c>
      <c r="G525" t="inlineStr">
        <is>
          <t>KALIX</t>
        </is>
      </c>
      <c r="I525" t="n">
        <v>1.3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34587-2026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46255</v>
      </c>
      <c r="E526" s="1" t="n">
        <v>46324</v>
      </c>
      <c r="F526" t="inlineStr">
        <is>
          <t>NORRBOTTENS LÄN</t>
        </is>
      </c>
      <c r="G526" t="inlineStr">
        <is>
          <t>KALIX</t>
        </is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34311-2026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46254</v>
      </c>
      <c r="E527" s="1" t="n">
        <v>46324</v>
      </c>
      <c r="F527" t="inlineStr">
        <is>
          <t>NORRBOTTENS LÄN</t>
        </is>
      </c>
      <c r="G527" t="inlineStr">
        <is>
          <t>KALIX</t>
        </is>
      </c>
      <c r="I527" t="n">
        <v>2.9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34340-2026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46254</v>
      </c>
      <c r="E528" s="1" t="n">
        <v>46324</v>
      </c>
      <c r="F528" t="inlineStr">
        <is>
          <t>NORRBOTTENS LÄN</t>
        </is>
      </c>
      <c r="G528" t="inlineStr">
        <is>
          <t>KALIX</t>
        </is>
      </c>
      <c r="I528" t="n">
        <v>2.8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12851-2026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46092</v>
      </c>
      <c r="E529" s="1" t="n">
        <v>46324</v>
      </c>
      <c r="F529" t="inlineStr">
        <is>
          <t>NORRBOTTENS LÄN</t>
        </is>
      </c>
      <c r="G529" t="inlineStr">
        <is>
          <t>KALIX</t>
        </is>
      </c>
      <c r="I529" t="n">
        <v>13.6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68438-2021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44529</v>
      </c>
      <c r="E530" s="1" t="n">
        <v>46324</v>
      </c>
      <c r="F530" t="inlineStr">
        <is>
          <t>NORRBOTTENS LÄN</t>
        </is>
      </c>
      <c r="G530" t="inlineStr">
        <is>
          <t>KALIX</t>
        </is>
      </c>
      <c r="I530" t="n">
        <v>7.5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21589-2023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45063</v>
      </c>
      <c r="E531" s="1" t="n">
        <v>46324</v>
      </c>
      <c r="F531" t="inlineStr">
        <is>
          <t>NORRBOTTENS LÄN</t>
        </is>
      </c>
      <c r="G531" t="inlineStr">
        <is>
          <t>KALIX</t>
        </is>
      </c>
      <c r="I531" t="n">
        <v>4.5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34773-2026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46258</v>
      </c>
      <c r="E532" s="1" t="n">
        <v>46324</v>
      </c>
      <c r="F532" t="inlineStr">
        <is>
          <t>NORRBOTTENS LÄN</t>
        </is>
      </c>
      <c r="G532" t="inlineStr">
        <is>
          <t>KALIX</t>
        </is>
      </c>
      <c r="I532" t="n">
        <v>1.2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1230-2025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45667</v>
      </c>
      <c r="E533" s="1" t="n">
        <v>46324</v>
      </c>
      <c r="F533" t="inlineStr">
        <is>
          <t>NORRBOTTENS LÄN</t>
        </is>
      </c>
      <c r="G533" t="inlineStr">
        <is>
          <t>KALIX</t>
        </is>
      </c>
      <c r="I533" t="n">
        <v>0.7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34776-2026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46258</v>
      </c>
      <c r="E534" s="1" t="n">
        <v>46324</v>
      </c>
      <c r="F534" t="inlineStr">
        <is>
          <t>NORRBOTTENS LÄN</t>
        </is>
      </c>
      <c r="G534" t="inlineStr">
        <is>
          <t>KALIX</t>
        </is>
      </c>
      <c r="I534" t="n">
        <v>1.4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24135-2023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45079</v>
      </c>
      <c r="E535" s="1" t="n">
        <v>46324</v>
      </c>
      <c r="F535" t="inlineStr">
        <is>
          <t>NORRBOTTENS LÄN</t>
        </is>
      </c>
      <c r="G535" t="inlineStr">
        <is>
          <t>KALIX</t>
        </is>
      </c>
      <c r="I535" t="n">
        <v>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34694-2026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46258</v>
      </c>
      <c r="E536" s="1" t="n">
        <v>46324</v>
      </c>
      <c r="F536" t="inlineStr">
        <is>
          <t>NORRBOTTENS LÄN</t>
        </is>
      </c>
      <c r="G536" t="inlineStr">
        <is>
          <t>KALIX</t>
        </is>
      </c>
      <c r="H536" t="inlineStr">
        <is>
          <t>Sveaskog</t>
        </is>
      </c>
      <c r="I536" t="n">
        <v>0.6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34585-2026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46255</v>
      </c>
      <c r="E537" s="1" t="n">
        <v>46324</v>
      </c>
      <c r="F537" t="inlineStr">
        <is>
          <t>NORRBOTTENS LÄN</t>
        </is>
      </c>
      <c r="G537" t="inlineStr">
        <is>
          <t>KALIX</t>
        </is>
      </c>
      <c r="H537" t="inlineStr">
        <is>
          <t>Sveaskog</t>
        </is>
      </c>
      <c r="I537" t="n">
        <v>17.8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8567-2024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45355</v>
      </c>
      <c r="E538" s="1" t="n">
        <v>46324</v>
      </c>
      <c r="F538" t="inlineStr">
        <is>
          <t>NORRBOTTENS LÄN</t>
        </is>
      </c>
      <c r="G538" t="inlineStr">
        <is>
          <t>KALIX</t>
        </is>
      </c>
      <c r="I538" t="n">
        <v>9.1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40036-2024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45553</v>
      </c>
      <c r="E539" s="1" t="n">
        <v>46324</v>
      </c>
      <c r="F539" t="inlineStr">
        <is>
          <t>NORRBOTTENS LÄN</t>
        </is>
      </c>
      <c r="G539" t="inlineStr">
        <is>
          <t>KALIX</t>
        </is>
      </c>
      <c r="I539" t="n">
        <v>1.4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34596-2026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46255</v>
      </c>
      <c r="E540" s="1" t="n">
        <v>46324</v>
      </c>
      <c r="F540" t="inlineStr">
        <is>
          <t>NORRBOTTENS LÄN</t>
        </is>
      </c>
      <c r="G540" t="inlineStr">
        <is>
          <t>KALIX</t>
        </is>
      </c>
      <c r="H540" t="inlineStr">
        <is>
          <t>SCA</t>
        </is>
      </c>
      <c r="I540" t="n">
        <v>3.1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3037-2025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45678</v>
      </c>
      <c r="E541" s="1" t="n">
        <v>46324</v>
      </c>
      <c r="F541" t="inlineStr">
        <is>
          <t>NORRBOTTENS LÄN</t>
        </is>
      </c>
      <c r="G541" t="inlineStr">
        <is>
          <t>KALIX</t>
        </is>
      </c>
      <c r="I541" t="n">
        <v>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29310-2023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45105</v>
      </c>
      <c r="E542" s="1" t="n">
        <v>46324</v>
      </c>
      <c r="F542" t="inlineStr">
        <is>
          <t>NORRBOTTENS LÄN</t>
        </is>
      </c>
      <c r="G542" t="inlineStr">
        <is>
          <t>KALIX</t>
        </is>
      </c>
      <c r="I542" t="n">
        <v>5.7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54506-2023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45226</v>
      </c>
      <c r="E543" s="1" t="n">
        <v>46324</v>
      </c>
      <c r="F543" t="inlineStr">
        <is>
          <t>NORRBOTTENS LÄN</t>
        </is>
      </c>
      <c r="G543" t="inlineStr">
        <is>
          <t>KALIX</t>
        </is>
      </c>
      <c r="I543" t="n">
        <v>0.6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15515-2024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45401</v>
      </c>
      <c r="E544" s="1" t="n">
        <v>46324</v>
      </c>
      <c r="F544" t="inlineStr">
        <is>
          <t>NORRBOTTENS LÄN</t>
        </is>
      </c>
      <c r="G544" t="inlineStr">
        <is>
          <t>KALIX</t>
        </is>
      </c>
      <c r="I544" t="n">
        <v>1.4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9974-2025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45719</v>
      </c>
      <c r="E545" s="1" t="n">
        <v>46324</v>
      </c>
      <c r="F545" t="inlineStr">
        <is>
          <t>NORRBOTTENS LÄN</t>
        </is>
      </c>
      <c r="G545" t="inlineStr">
        <is>
          <t>KALIX</t>
        </is>
      </c>
      <c r="I545" t="n">
        <v>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59557-2024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45638</v>
      </c>
      <c r="E546" s="1" t="n">
        <v>46324</v>
      </c>
      <c r="F546" t="inlineStr">
        <is>
          <t>NORRBOTTENS LÄN</t>
        </is>
      </c>
      <c r="G546" t="inlineStr">
        <is>
          <t>KALIX</t>
        </is>
      </c>
      <c r="H546" t="inlineStr">
        <is>
          <t>SCA</t>
        </is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47565-2024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45587</v>
      </c>
      <c r="E547" s="1" t="n">
        <v>46324</v>
      </c>
      <c r="F547" t="inlineStr">
        <is>
          <t>NORRBOTTENS LÄN</t>
        </is>
      </c>
      <c r="G547" t="inlineStr">
        <is>
          <t>KALIX</t>
        </is>
      </c>
      <c r="H547" t="inlineStr">
        <is>
          <t>SCA</t>
        </is>
      </c>
      <c r="I547" t="n">
        <v>8.300000000000001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21606-2023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45063</v>
      </c>
      <c r="E548" s="1" t="n">
        <v>46324</v>
      </c>
      <c r="F548" t="inlineStr">
        <is>
          <t>NORRBOTTENS LÄN</t>
        </is>
      </c>
      <c r="G548" t="inlineStr">
        <is>
          <t>KALIX</t>
        </is>
      </c>
      <c r="I548" t="n">
        <v>1.4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9450-2023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44981</v>
      </c>
      <c r="E549" s="1" t="n">
        <v>46324</v>
      </c>
      <c r="F549" t="inlineStr">
        <is>
          <t>NORRBOTTENS LÄN</t>
        </is>
      </c>
      <c r="G549" t="inlineStr">
        <is>
          <t>KALIX</t>
        </is>
      </c>
      <c r="I549" t="n">
        <v>1.3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42970-2026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46310</v>
      </c>
      <c r="E550" s="1" t="n">
        <v>46324</v>
      </c>
      <c r="F550" t="inlineStr">
        <is>
          <t>NORRBOTTENS LÄN</t>
        </is>
      </c>
      <c r="G550" t="inlineStr">
        <is>
          <t>KALIX</t>
        </is>
      </c>
      <c r="I550" t="n">
        <v>4.5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42972-2026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46310</v>
      </c>
      <c r="E551" s="1" t="n">
        <v>46324</v>
      </c>
      <c r="F551" t="inlineStr">
        <is>
          <t>NORRBOTTENS LÄN</t>
        </is>
      </c>
      <c r="G551" t="inlineStr">
        <is>
          <t>KALIX</t>
        </is>
      </c>
      <c r="I551" t="n">
        <v>11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42979-2026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46310</v>
      </c>
      <c r="E552" s="1" t="n">
        <v>46324</v>
      </c>
      <c r="F552" t="inlineStr">
        <is>
          <t>NORRBOTTENS LÄN</t>
        </is>
      </c>
      <c r="G552" t="inlineStr">
        <is>
          <t>KALIX</t>
        </is>
      </c>
      <c r="I552" t="n">
        <v>1.7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36167-2026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46267</v>
      </c>
      <c r="E553" s="1" t="n">
        <v>46324</v>
      </c>
      <c r="F553" t="inlineStr">
        <is>
          <t>NORRBOTTENS LÄN</t>
        </is>
      </c>
      <c r="G553" t="inlineStr">
        <is>
          <t>KALIX</t>
        </is>
      </c>
      <c r="H553" t="inlineStr">
        <is>
          <t>SCA</t>
        </is>
      </c>
      <c r="I553" t="n">
        <v>0.5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36168-2026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46267</v>
      </c>
      <c r="E554" s="1" t="n">
        <v>46324</v>
      </c>
      <c r="F554" t="inlineStr">
        <is>
          <t>NORRBOTTENS LÄN</t>
        </is>
      </c>
      <c r="G554" t="inlineStr">
        <is>
          <t>KALIX</t>
        </is>
      </c>
      <c r="H554" t="inlineStr">
        <is>
          <t>SCA</t>
        </is>
      </c>
      <c r="I554" t="n">
        <v>5.1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61720-2023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45265</v>
      </c>
      <c r="E555" s="1" t="n">
        <v>46324</v>
      </c>
      <c r="F555" t="inlineStr">
        <is>
          <t>NORRBOTTENS LÄN</t>
        </is>
      </c>
      <c r="G555" t="inlineStr">
        <is>
          <t>KALIX</t>
        </is>
      </c>
      <c r="I555" t="n">
        <v>1.4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62135-2023</t>
        </is>
      </c>
      <c r="B556" t="inlineStr">
        <is>
          <t>avverkningsanmälan</t>
        </is>
      </c>
      <c r="C556" t="inlineStr">
        <is>
          <t>Avverkning för att bevara och utveckla /försöksver</t>
        </is>
      </c>
      <c r="D556" s="1" t="n">
        <v>45266</v>
      </c>
      <c r="E556" s="1" t="n">
        <v>46324</v>
      </c>
      <c r="F556" t="inlineStr">
        <is>
          <t>NORRBOTTENS LÄN</t>
        </is>
      </c>
      <c r="G556" t="inlineStr">
        <is>
          <t>KALIX</t>
        </is>
      </c>
      <c r="I556" t="n">
        <v>8.9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62143-2023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45266</v>
      </c>
      <c r="E557" s="1" t="n">
        <v>46324</v>
      </c>
      <c r="F557" t="inlineStr">
        <is>
          <t>NORRBOTTENS LÄN</t>
        </is>
      </c>
      <c r="G557" t="inlineStr">
        <is>
          <t>KALIX</t>
        </is>
      </c>
      <c r="I557" t="n">
        <v>5.2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20317-2023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45054</v>
      </c>
      <c r="E558" s="1" t="n">
        <v>46324</v>
      </c>
      <c r="F558" t="inlineStr">
        <is>
          <t>NORRBOTTENS LÄN</t>
        </is>
      </c>
      <c r="G558" t="inlineStr">
        <is>
          <t>KALIX</t>
        </is>
      </c>
      <c r="I558" t="n">
        <v>8.800000000000001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36157-2026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46267</v>
      </c>
      <c r="E559" s="1" t="n">
        <v>46324</v>
      </c>
      <c r="F559" t="inlineStr">
        <is>
          <t>NORRBOTTENS LÄN</t>
        </is>
      </c>
      <c r="G559" t="inlineStr">
        <is>
          <t>KALIX</t>
        </is>
      </c>
      <c r="H559" t="inlineStr">
        <is>
          <t>SCA</t>
        </is>
      </c>
      <c r="I559" t="n">
        <v>1.3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36170-2026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46267</v>
      </c>
      <c r="E560" s="1" t="n">
        <v>46324</v>
      </c>
      <c r="F560" t="inlineStr">
        <is>
          <t>NORRBOTTENS LÄN</t>
        </is>
      </c>
      <c r="G560" t="inlineStr">
        <is>
          <t>KALIX</t>
        </is>
      </c>
      <c r="H560" t="inlineStr">
        <is>
          <t>SCA</t>
        </is>
      </c>
      <c r="I560" t="n">
        <v>3.5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42873-2026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46310</v>
      </c>
      <c r="E561" s="1" t="n">
        <v>46324</v>
      </c>
      <c r="F561" t="inlineStr">
        <is>
          <t>NORRBOTTENS LÄN</t>
        </is>
      </c>
      <c r="G561" t="inlineStr">
        <is>
          <t>KALIX</t>
        </is>
      </c>
      <c r="I561" t="n">
        <v>1.4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43181-2026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46312</v>
      </c>
      <c r="E562" s="1" t="n">
        <v>46324</v>
      </c>
      <c r="F562" t="inlineStr">
        <is>
          <t>NORRBOTTENS LÄN</t>
        </is>
      </c>
      <c r="G562" t="inlineStr">
        <is>
          <t>KALIX</t>
        </is>
      </c>
      <c r="I562" t="n">
        <v>4.6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43183-2026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46312</v>
      </c>
      <c r="E563" s="1" t="n">
        <v>46324</v>
      </c>
      <c r="F563" t="inlineStr">
        <is>
          <t>NORRBOTTENS LÄN</t>
        </is>
      </c>
      <c r="G563" t="inlineStr">
        <is>
          <t>KALIX</t>
        </is>
      </c>
      <c r="I563" t="n">
        <v>1.1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43180-2026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46312</v>
      </c>
      <c r="E564" s="1" t="n">
        <v>46324</v>
      </c>
      <c r="F564" t="inlineStr">
        <is>
          <t>NORRBOTTENS LÄN</t>
        </is>
      </c>
      <c r="G564" t="inlineStr">
        <is>
          <t>KALIX</t>
        </is>
      </c>
      <c r="I564" t="n">
        <v>0.9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43440-2026</t>
        </is>
      </c>
      <c r="B565" t="inlineStr">
        <is>
          <t>avverkningsanmälan</t>
        </is>
      </c>
      <c r="C565" t="inlineStr">
        <is>
          <t>Avverkning för annat ändamål</t>
        </is>
      </c>
      <c r="D565" s="1" t="n">
        <v>46314</v>
      </c>
      <c r="E565" s="1" t="n">
        <v>46324</v>
      </c>
      <c r="F565" t="inlineStr">
        <is>
          <t>NORRBOTTENS LÄN</t>
        </is>
      </c>
      <c r="G565" t="inlineStr">
        <is>
          <t>KALIX</t>
        </is>
      </c>
      <c r="I565" t="n">
        <v>0.4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24616-2024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45460</v>
      </c>
      <c r="E566" s="1" t="n">
        <v>46324</v>
      </c>
      <c r="F566" t="inlineStr">
        <is>
          <t>NORRBOTTENS LÄN</t>
        </is>
      </c>
      <c r="G566" t="inlineStr">
        <is>
          <t>KALIX</t>
        </is>
      </c>
      <c r="I566" t="n">
        <v>3.4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36571-2026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46269</v>
      </c>
      <c r="E567" s="1" t="n">
        <v>46324</v>
      </c>
      <c r="F567" t="inlineStr">
        <is>
          <t>NORRBOTTENS LÄN</t>
        </is>
      </c>
      <c r="G567" t="inlineStr">
        <is>
          <t>KALIX</t>
        </is>
      </c>
      <c r="I567" t="n">
        <v>6.6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16221-2024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45406</v>
      </c>
      <c r="E568" s="1" t="n">
        <v>46324</v>
      </c>
      <c r="F568" t="inlineStr">
        <is>
          <t>NORRBOTTENS LÄN</t>
        </is>
      </c>
      <c r="G568" t="inlineStr">
        <is>
          <t>KALIX</t>
        </is>
      </c>
      <c r="I568" t="n">
        <v>2.1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36845-2026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46272</v>
      </c>
      <c r="E569" s="1" t="n">
        <v>46324</v>
      </c>
      <c r="F569" t="inlineStr">
        <is>
          <t>NORRBOTTENS LÄN</t>
        </is>
      </c>
      <c r="G569" t="inlineStr">
        <is>
          <t>KALIX</t>
        </is>
      </c>
      <c r="I569" t="n">
        <v>1.6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37410-2026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46275</v>
      </c>
      <c r="E570" s="1" t="n">
        <v>46324</v>
      </c>
      <c r="F570" t="inlineStr">
        <is>
          <t>NORRBOTTENS LÄN</t>
        </is>
      </c>
      <c r="G570" t="inlineStr">
        <is>
          <t>KALIX</t>
        </is>
      </c>
      <c r="I570" t="n">
        <v>1.3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37400-2026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46275</v>
      </c>
      <c r="E571" s="1" t="n">
        <v>46324</v>
      </c>
      <c r="F571" t="inlineStr">
        <is>
          <t>NORRBOTTENS LÄN</t>
        </is>
      </c>
      <c r="G571" t="inlineStr">
        <is>
          <t>KALIX</t>
        </is>
      </c>
      <c r="I571" t="n">
        <v>7.4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37146-2026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46274</v>
      </c>
      <c r="E572" s="1" t="n">
        <v>46324</v>
      </c>
      <c r="F572" t="inlineStr">
        <is>
          <t>NORRBOTTENS LÄN</t>
        </is>
      </c>
      <c r="G572" t="inlineStr">
        <is>
          <t>KALIX</t>
        </is>
      </c>
      <c r="I572" t="n">
        <v>11.7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12927-2024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45385</v>
      </c>
      <c r="E573" s="1" t="n">
        <v>46324</v>
      </c>
      <c r="F573" t="inlineStr">
        <is>
          <t>NORRBOTTENS LÄN</t>
        </is>
      </c>
      <c r="G573" t="inlineStr">
        <is>
          <t>KALIX</t>
        </is>
      </c>
      <c r="I573" t="n">
        <v>3.5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43957-2026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46317</v>
      </c>
      <c r="E574" s="1" t="n">
        <v>46324</v>
      </c>
      <c r="F574" t="inlineStr">
        <is>
          <t>NORRBOTTENS LÄN</t>
        </is>
      </c>
      <c r="G574" t="inlineStr">
        <is>
          <t>KALIX</t>
        </is>
      </c>
      <c r="I574" t="n">
        <v>6.1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37193-2026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46274</v>
      </c>
      <c r="E575" s="1" t="n">
        <v>46324</v>
      </c>
      <c r="F575" t="inlineStr">
        <is>
          <t>NORRBOTTENS LÄN</t>
        </is>
      </c>
      <c r="G575" t="inlineStr">
        <is>
          <t>KALIX</t>
        </is>
      </c>
      <c r="I575" t="n">
        <v>16.4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37407-2026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46275</v>
      </c>
      <c r="E576" s="1" t="n">
        <v>46324</v>
      </c>
      <c r="F576" t="inlineStr">
        <is>
          <t>NORRBOTTENS LÄN</t>
        </is>
      </c>
      <c r="G576" t="inlineStr">
        <is>
          <t>KALIX</t>
        </is>
      </c>
      <c r="I576" t="n">
        <v>1.2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55567-2023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45238</v>
      </c>
      <c r="E577" s="1" t="n">
        <v>46324</v>
      </c>
      <c r="F577" t="inlineStr">
        <is>
          <t>NORRBOTTENS LÄN</t>
        </is>
      </c>
      <c r="G577" t="inlineStr">
        <is>
          <t>KALIX</t>
        </is>
      </c>
      <c r="I577" t="n">
        <v>3.5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57513-2023</t>
        </is>
      </c>
      <c r="B578" t="inlineStr">
        <is>
          <t>avverkningsanmälan</t>
        </is>
      </c>
      <c r="C578" t="inlineStr">
        <is>
          <t>Avverkning för annat ändamål</t>
        </is>
      </c>
      <c r="D578" s="1" t="n">
        <v>45243</v>
      </c>
      <c r="E578" s="1" t="n">
        <v>46324</v>
      </c>
      <c r="F578" t="inlineStr">
        <is>
          <t>NORRBOTTENS LÄN</t>
        </is>
      </c>
      <c r="G578" t="inlineStr">
        <is>
          <t>KALIX</t>
        </is>
      </c>
      <c r="I578" t="n">
        <v>0.6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5074-2025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45691</v>
      </c>
      <c r="E579" s="1" t="n">
        <v>46324</v>
      </c>
      <c r="F579" t="inlineStr">
        <is>
          <t>NORRBOTTENS LÄN</t>
        </is>
      </c>
      <c r="G579" t="inlineStr">
        <is>
          <t>KALIX</t>
        </is>
      </c>
      <c r="I579" t="n">
        <v>0.5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37492-2026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46275</v>
      </c>
      <c r="E580" s="1" t="n">
        <v>46324</v>
      </c>
      <c r="F580" t="inlineStr">
        <is>
          <t>NORRBOTTENS LÄN</t>
        </is>
      </c>
      <c r="G580" t="inlineStr">
        <is>
          <t>KALIX</t>
        </is>
      </c>
      <c r="H580" t="inlineStr">
        <is>
          <t>SCA</t>
        </is>
      </c>
      <c r="I580" t="n">
        <v>4.5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44230-2026</t>
        </is>
      </c>
      <c r="B581" t="inlineStr">
        <is>
          <t>avverkningsanmälan</t>
        </is>
      </c>
      <c r="C581" t="inlineStr">
        <is>
          <t>Avverkning för annat ändamål</t>
        </is>
      </c>
      <c r="D581" s="1" t="n">
        <v>46318</v>
      </c>
      <c r="E581" s="1" t="n">
        <v>46324</v>
      </c>
      <c r="F581" t="inlineStr">
        <is>
          <t>NORRBOTTENS LÄN</t>
        </is>
      </c>
      <c r="G581" t="inlineStr">
        <is>
          <t>KALIX</t>
        </is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44237-2026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46318</v>
      </c>
      <c r="E582" s="1" t="n">
        <v>46324</v>
      </c>
      <c r="F582" t="inlineStr">
        <is>
          <t>NORRBOTTENS LÄN</t>
        </is>
      </c>
      <c r="G582" t="inlineStr">
        <is>
          <t>KALIX</t>
        </is>
      </c>
      <c r="I582" t="n">
        <v>1.7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44167-2026</t>
        </is>
      </c>
      <c r="B583" t="inlineStr">
        <is>
          <t>avverkningsanmälan</t>
        </is>
      </c>
      <c r="C583" t="inlineStr">
        <is>
          <t>Avverkning för annat ändamål</t>
        </is>
      </c>
      <c r="D583" s="1" t="n">
        <v>46318</v>
      </c>
      <c r="E583" s="1" t="n">
        <v>46324</v>
      </c>
      <c r="F583" t="inlineStr">
        <is>
          <t>NORRBOTTENS LÄN</t>
        </is>
      </c>
      <c r="G583" t="inlineStr">
        <is>
          <t>KALIX</t>
        </is>
      </c>
      <c r="H583" t="inlineStr">
        <is>
          <t>SCA</t>
        </is>
      </c>
      <c r="I583" t="n">
        <v>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32056-2024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45510</v>
      </c>
      <c r="E584" s="1" t="n">
        <v>46324</v>
      </c>
      <c r="F584" t="inlineStr">
        <is>
          <t>NORRBOTTENS LÄN</t>
        </is>
      </c>
      <c r="G584" t="inlineStr">
        <is>
          <t>KALIX</t>
        </is>
      </c>
      <c r="H584" t="inlineStr">
        <is>
          <t>SCA</t>
        </is>
      </c>
      <c r="I584" t="n">
        <v>4.8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44222-2026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46318</v>
      </c>
      <c r="E585" s="1" t="n">
        <v>46324</v>
      </c>
      <c r="F585" t="inlineStr">
        <is>
          <t>NORRBOTTENS LÄN</t>
        </is>
      </c>
      <c r="G585" t="inlineStr">
        <is>
          <t>KALIX</t>
        </is>
      </c>
      <c r="I585" t="n">
        <v>1.9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21638-2022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44706</v>
      </c>
      <c r="E586" s="1" t="n">
        <v>46324</v>
      </c>
      <c r="F586" t="inlineStr">
        <is>
          <t>NORRBOTTENS LÄN</t>
        </is>
      </c>
      <c r="G586" t="inlineStr">
        <is>
          <t>KALIX</t>
        </is>
      </c>
      <c r="H586" t="inlineStr">
        <is>
          <t>Sveaskog</t>
        </is>
      </c>
      <c r="I586" t="n">
        <v>6.5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44492-2026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46321</v>
      </c>
      <c r="E587" s="1" t="n">
        <v>46324</v>
      </c>
      <c r="F587" t="inlineStr">
        <is>
          <t>NORRBOTTENS LÄN</t>
        </is>
      </c>
      <c r="G587" t="inlineStr">
        <is>
          <t>KALIX</t>
        </is>
      </c>
      <c r="I587" t="n">
        <v>1.6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17856-2023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45037</v>
      </c>
      <c r="E588" s="1" t="n">
        <v>46324</v>
      </c>
      <c r="F588" t="inlineStr">
        <is>
          <t>NORRBOTTENS LÄN</t>
        </is>
      </c>
      <c r="G588" t="inlineStr">
        <is>
          <t>KALIX</t>
        </is>
      </c>
      <c r="I588" t="n">
        <v>2.4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37834-2026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46279</v>
      </c>
      <c r="E589" s="1" t="n">
        <v>46324</v>
      </c>
      <c r="F589" t="inlineStr">
        <is>
          <t>NORRBOTTENS LÄN</t>
        </is>
      </c>
      <c r="G589" t="inlineStr">
        <is>
          <t>KALIX</t>
        </is>
      </c>
      <c r="I589" t="n">
        <v>1.8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37845-2026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46279</v>
      </c>
      <c r="E590" s="1" t="n">
        <v>46324</v>
      </c>
      <c r="F590" t="inlineStr">
        <is>
          <t>NORRBOTTENS LÄN</t>
        </is>
      </c>
      <c r="G590" t="inlineStr">
        <is>
          <t>KALIX</t>
        </is>
      </c>
      <c r="I590" t="n">
        <v>0.8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44474-2026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46321</v>
      </c>
      <c r="E591" s="1" t="n">
        <v>46324</v>
      </c>
      <c r="F591" t="inlineStr">
        <is>
          <t>NORRBOTTENS LÄN</t>
        </is>
      </c>
      <c r="G591" t="inlineStr">
        <is>
          <t>KALIX</t>
        </is>
      </c>
      <c r="I591" t="n">
        <v>3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14100-2025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45740</v>
      </c>
      <c r="E592" s="1" t="n">
        <v>46324</v>
      </c>
      <c r="F592" t="inlineStr">
        <is>
          <t>NORRBOTTENS LÄN</t>
        </is>
      </c>
      <c r="G592" t="inlineStr">
        <is>
          <t>KALIX</t>
        </is>
      </c>
      <c r="I592" t="n">
        <v>0.9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44762-2026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46322</v>
      </c>
      <c r="E593" s="1" t="n">
        <v>46324</v>
      </c>
      <c r="F593" t="inlineStr">
        <is>
          <t>NORRBOTTENS LÄN</t>
        </is>
      </c>
      <c r="G593" t="inlineStr">
        <is>
          <t>KALIX</t>
        </is>
      </c>
      <c r="I593" t="n">
        <v>2.2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57631-2023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45246</v>
      </c>
      <c r="E594" s="1" t="n">
        <v>46324</v>
      </c>
      <c r="F594" t="inlineStr">
        <is>
          <t>NORRBOTTENS LÄN</t>
        </is>
      </c>
      <c r="G594" t="inlineStr">
        <is>
          <t>KALIX</t>
        </is>
      </c>
      <c r="I594" t="n">
        <v>1.3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46585-2024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45582</v>
      </c>
      <c r="E595" s="1" t="n">
        <v>46324</v>
      </c>
      <c r="F595" t="inlineStr">
        <is>
          <t>NORRBOTTENS LÄN</t>
        </is>
      </c>
      <c r="G595" t="inlineStr">
        <is>
          <t>KALIX</t>
        </is>
      </c>
      <c r="I595" t="n">
        <v>0.7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44486-2026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46321</v>
      </c>
      <c r="E596" s="1" t="n">
        <v>46324</v>
      </c>
      <c r="F596" t="inlineStr">
        <is>
          <t>NORRBOTTENS LÄN</t>
        </is>
      </c>
      <c r="G596" t="inlineStr">
        <is>
          <t>KALIX</t>
        </is>
      </c>
      <c r="I596" t="n">
        <v>6.7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58765-2023</t>
        </is>
      </c>
      <c r="B597" t="inlineStr">
        <is>
          <t>avverkningsanmälan</t>
        </is>
      </c>
      <c r="C597" t="inlineStr">
        <is>
          <t>Avverkning för annat ändamål</t>
        </is>
      </c>
      <c r="D597" s="1" t="n">
        <v>45251</v>
      </c>
      <c r="E597" s="1" t="n">
        <v>46324</v>
      </c>
      <c r="F597" t="inlineStr">
        <is>
          <t>NORRBOTTENS LÄN</t>
        </is>
      </c>
      <c r="G597" t="inlineStr">
        <is>
          <t>KALIX</t>
        </is>
      </c>
      <c r="I597" t="n">
        <v>0.8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24265-2024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45457</v>
      </c>
      <c r="E598" s="1" t="n">
        <v>46324</v>
      </c>
      <c r="F598" t="inlineStr">
        <is>
          <t>NORRBOTTENS LÄN</t>
        </is>
      </c>
      <c r="G598" t="inlineStr">
        <is>
          <t>KALIX</t>
        </is>
      </c>
      <c r="I598" t="n">
        <v>0.5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4082-2023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44950</v>
      </c>
      <c r="E599" s="1" t="n">
        <v>46324</v>
      </c>
      <c r="F599" t="inlineStr">
        <is>
          <t>NORRBOTTENS LÄN</t>
        </is>
      </c>
      <c r="G599" t="inlineStr">
        <is>
          <t>KALIX</t>
        </is>
      </c>
      <c r="I599" t="n">
        <v>2.3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2917-2022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44581</v>
      </c>
      <c r="E600" s="1" t="n">
        <v>46324</v>
      </c>
      <c r="F600" t="inlineStr">
        <is>
          <t>NORRBOTTENS LÄN</t>
        </is>
      </c>
      <c r="G600" t="inlineStr">
        <is>
          <t>KALIX</t>
        </is>
      </c>
      <c r="I600" t="n">
        <v>4.9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16732-2025</t>
        </is>
      </c>
      <c r="B601" t="inlineStr">
        <is>
          <t>avverkningsanmälan</t>
        </is>
      </c>
      <c r="C601" t="inlineStr">
        <is>
          <t>Föryngringsavverkning</t>
        </is>
      </c>
      <c r="D601" s="1" t="n">
        <v>45754</v>
      </c>
      <c r="E601" s="1" t="n">
        <v>46324</v>
      </c>
      <c r="F601" t="inlineStr">
        <is>
          <t>NORRBOTTENS LÄN</t>
        </is>
      </c>
      <c r="G601" t="inlineStr">
        <is>
          <t>KALIX</t>
        </is>
      </c>
      <c r="I601" t="n">
        <v>0.6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60955-2022</t>
        </is>
      </c>
      <c r="B602" t="inlineStr">
        <is>
          <t>avverkningsanmälan</t>
        </is>
      </c>
      <c r="C602" t="inlineStr">
        <is>
          <t>Avverkning för annat ändamål</t>
        </is>
      </c>
      <c r="D602" s="1" t="n">
        <v>44907</v>
      </c>
      <c r="E602" s="1" t="n">
        <v>46324</v>
      </c>
      <c r="F602" t="inlineStr">
        <is>
          <t>NORRBOTTENS LÄN</t>
        </is>
      </c>
      <c r="G602" t="inlineStr">
        <is>
          <t>KALIX</t>
        </is>
      </c>
      <c r="I602" t="n">
        <v>0.9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59024-2022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44903</v>
      </c>
      <c r="E603" s="1" t="n">
        <v>46324</v>
      </c>
      <c r="F603" t="inlineStr">
        <is>
          <t>NORRBOTTENS LÄN</t>
        </is>
      </c>
      <c r="G603" t="inlineStr">
        <is>
          <t>KALIX</t>
        </is>
      </c>
      <c r="I603" t="n">
        <v>1.5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44554-2026</t>
        </is>
      </c>
      <c r="B604" t="inlineStr">
        <is>
          <t>avverkningsanmälan</t>
        </is>
      </c>
      <c r="C604" t="inlineStr">
        <is>
          <t>Avverkning för annat ändamål</t>
        </is>
      </c>
      <c r="D604" s="1" t="n">
        <v>46317</v>
      </c>
      <c r="E604" s="1" t="n">
        <v>46324</v>
      </c>
      <c r="F604" t="inlineStr">
        <is>
          <t>NORRBOTTENS LÄN</t>
        </is>
      </c>
      <c r="G604" t="inlineStr">
        <is>
          <t>KALIX</t>
        </is>
      </c>
      <c r="I604" t="n">
        <v>2.3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18010-2024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45419</v>
      </c>
      <c r="E605" s="1" t="n">
        <v>46324</v>
      </c>
      <c r="F605" t="inlineStr">
        <is>
          <t>NORRBOTTENS LÄN</t>
        </is>
      </c>
      <c r="G605" t="inlineStr">
        <is>
          <t>KALIX</t>
        </is>
      </c>
      <c r="H605" t="inlineStr">
        <is>
          <t>SCA</t>
        </is>
      </c>
      <c r="I605" t="n">
        <v>9.9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</row>
    <row r="606" ht="15" customHeight="1">
      <c r="A606" t="inlineStr">
        <is>
          <t>A 37961-2026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46280</v>
      </c>
      <c r="E606" s="1" t="n">
        <v>46324</v>
      </c>
      <c r="F606" t="inlineStr">
        <is>
          <t>NORRBOTTENS LÄN</t>
        </is>
      </c>
      <c r="G606" t="inlineStr">
        <is>
          <t>KALIX</t>
        </is>
      </c>
      <c r="H606" t="inlineStr">
        <is>
          <t>Sveaskog</t>
        </is>
      </c>
      <c r="I606" t="n">
        <v>0.5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37859-2026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46279</v>
      </c>
      <c r="E607" s="1" t="n">
        <v>46324</v>
      </c>
      <c r="F607" t="inlineStr">
        <is>
          <t>NORRBOTTENS LÄN</t>
        </is>
      </c>
      <c r="G607" t="inlineStr">
        <is>
          <t>KALIX</t>
        </is>
      </c>
      <c r="I607" t="n">
        <v>3.4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44461-2026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46321</v>
      </c>
      <c r="E608" s="1" t="n">
        <v>46324</v>
      </c>
      <c r="F608" t="inlineStr">
        <is>
          <t>NORRBOTTENS LÄN</t>
        </is>
      </c>
      <c r="G608" t="inlineStr">
        <is>
          <t>KALIX</t>
        </is>
      </c>
      <c r="I608" t="n">
        <v>1.5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44414-2026</t>
        </is>
      </c>
      <c r="B609" t="inlineStr">
        <is>
          <t>avverkningsanmälan</t>
        </is>
      </c>
      <c r="C609" t="inlineStr">
        <is>
          <t>Avverkning för annat ändamål</t>
        </is>
      </c>
      <c r="D609" s="1" t="n">
        <v>46321</v>
      </c>
      <c r="E609" s="1" t="n">
        <v>46324</v>
      </c>
      <c r="F609" t="inlineStr">
        <is>
          <t>NORRBOTTENS LÄN</t>
        </is>
      </c>
      <c r="G609" t="inlineStr">
        <is>
          <t>KALIX</t>
        </is>
      </c>
      <c r="H609" t="inlineStr">
        <is>
          <t>SCA</t>
        </is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44855-2026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46323</v>
      </c>
      <c r="E610" s="1" t="n">
        <v>46324</v>
      </c>
      <c r="F610" t="inlineStr">
        <is>
          <t>NORRBOTTENS LÄN</t>
        </is>
      </c>
      <c r="G610" t="inlineStr">
        <is>
          <t>KALIX</t>
        </is>
      </c>
      <c r="H610" t="inlineStr">
        <is>
          <t>SCA</t>
        </is>
      </c>
      <c r="I610" t="n">
        <v>2.2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S 2172-2022</t>
        </is>
      </c>
      <c r="B611" t="inlineStr">
        <is>
          <t>samrådsanmälan</t>
        </is>
      </c>
      <c r="C611" t="inlineStr">
        <is>
          <t>Skogsbilväg</t>
        </is>
      </c>
      <c r="D611" s="1" t="n">
        <v>44678</v>
      </c>
      <c r="E611" s="1" t="n">
        <v>46324</v>
      </c>
      <c r="F611" t="inlineStr">
        <is>
          <t>NORRBOTTENS LÄN</t>
        </is>
      </c>
      <c r="G611" t="inlineStr">
        <is>
          <t>KALIX</t>
        </is>
      </c>
      <c r="I611" t="n">
        <v>1.4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S 1138-2024</t>
        </is>
      </c>
      <c r="B612" t="inlineStr">
        <is>
          <t>samrådsanmälan</t>
        </is>
      </c>
      <c r="C612" t="inlineStr">
        <is>
          <t>Skogsgödsling</t>
        </is>
      </c>
      <c r="D612" s="1" t="n">
        <v>45393</v>
      </c>
      <c r="E612" s="1" t="n">
        <v>46324</v>
      </c>
      <c r="F612" t="inlineStr">
        <is>
          <t>NORRBOTTENS LÄN</t>
        </is>
      </c>
      <c r="G612" t="inlineStr">
        <is>
          <t>KALIX</t>
        </is>
      </c>
      <c r="I612" t="n">
        <v>16.5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S 1658-2023</t>
        </is>
      </c>
      <c r="B613" t="inlineStr">
        <is>
          <t>samrådsanmälan</t>
        </is>
      </c>
      <c r="C613" t="inlineStr">
        <is>
          <t>Skogsgödsling</t>
        </is>
      </c>
      <c r="D613" s="1" t="n">
        <v>45061</v>
      </c>
      <c r="E613" s="1" t="n">
        <v>46324</v>
      </c>
      <c r="F613" t="inlineStr">
        <is>
          <t>NORRBOTTENS LÄN</t>
        </is>
      </c>
      <c r="G613" t="inlineStr">
        <is>
          <t>KALIX</t>
        </is>
      </c>
      <c r="I613" t="n">
        <v>5.8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S 157-2023</t>
        </is>
      </c>
      <c r="B614" t="inlineStr">
        <is>
          <t>samrådsanmälan</t>
        </is>
      </c>
      <c r="C614" t="inlineStr">
        <is>
          <t>Annan skogsbruksåtgärd</t>
        </is>
      </c>
      <c r="D614" s="1" t="n">
        <v>44944</v>
      </c>
      <c r="E614" s="1" t="n">
        <v>46324</v>
      </c>
      <c r="F614" t="inlineStr">
        <is>
          <t>NORRBOTTENS LÄN</t>
        </is>
      </c>
      <c r="G614" t="inlineStr">
        <is>
          <t>KALIX</t>
        </is>
      </c>
      <c r="I614" t="n">
        <v>0.6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S 1139-2024</t>
        </is>
      </c>
      <c r="B615" t="inlineStr">
        <is>
          <t>samrådsanmälan</t>
        </is>
      </c>
      <c r="C615" t="inlineStr">
        <is>
          <t>Skogsgödsling</t>
        </is>
      </c>
      <c r="D615" s="1" t="n">
        <v>45393</v>
      </c>
      <c r="E615" s="1" t="n">
        <v>46324</v>
      </c>
      <c r="F615" t="inlineStr">
        <is>
          <t>NORRBOTTENS LÄN</t>
        </is>
      </c>
      <c r="G615" t="inlineStr">
        <is>
          <t>KALIX</t>
        </is>
      </c>
      <c r="I615" t="n">
        <v>5.8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S 1659-2023</t>
        </is>
      </c>
      <c r="B616" t="inlineStr">
        <is>
          <t>samrådsanmälan</t>
        </is>
      </c>
      <c r="C616" t="inlineStr">
        <is>
          <t>Skogsgödsling</t>
        </is>
      </c>
      <c r="D616" s="1" t="n">
        <v>45061</v>
      </c>
      <c r="E616" s="1" t="n">
        <v>46324</v>
      </c>
      <c r="F616" t="inlineStr">
        <is>
          <t>NORRBOTTENS LÄN</t>
        </is>
      </c>
      <c r="G616" t="inlineStr">
        <is>
          <t>KALIX</t>
        </is>
      </c>
      <c r="I616" t="n">
        <v>17.1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S 1131-2024</t>
        </is>
      </c>
      <c r="B617" t="inlineStr">
        <is>
          <t>samrådsanmälan</t>
        </is>
      </c>
      <c r="C617" t="inlineStr">
        <is>
          <t>Skogsgödsling</t>
        </is>
      </c>
      <c r="D617" s="1" t="n">
        <v>45393</v>
      </c>
      <c r="E617" s="1" t="n">
        <v>46324</v>
      </c>
      <c r="F617" t="inlineStr">
        <is>
          <t>NORRBOTTENS LÄN</t>
        </is>
      </c>
      <c r="G617" t="inlineStr">
        <is>
          <t>KALIX</t>
        </is>
      </c>
      <c r="I617" t="n">
        <v>12.6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S 1656-2023</t>
        </is>
      </c>
      <c r="B618" t="inlineStr">
        <is>
          <t>samrådsanmälan</t>
        </is>
      </c>
      <c r="C618" t="inlineStr">
        <is>
          <t>Skogsgödsling</t>
        </is>
      </c>
      <c r="D618" s="1" t="n">
        <v>45061</v>
      </c>
      <c r="E618" s="1" t="n">
        <v>46324</v>
      </c>
      <c r="F618" t="inlineStr">
        <is>
          <t>NORRBOTTENS LÄN</t>
        </is>
      </c>
      <c r="G618" t="inlineStr">
        <is>
          <t>KALIX</t>
        </is>
      </c>
      <c r="I618" t="n">
        <v>12.6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S 961-2024</t>
        </is>
      </c>
      <c r="B619" t="inlineStr">
        <is>
          <t>samrådsanmälan</t>
        </is>
      </c>
      <c r="C619" t="inlineStr">
        <is>
          <t>Annan skogsbruksåtgärd</t>
        </is>
      </c>
      <c r="D619" s="1" t="n">
        <v>45383</v>
      </c>
      <c r="E619" s="1" t="n">
        <v>46324</v>
      </c>
      <c r="F619" t="inlineStr">
        <is>
          <t>NORRBOTTENS LÄN</t>
        </is>
      </c>
      <c r="G619" t="inlineStr">
        <is>
          <t>KALIX</t>
        </is>
      </c>
      <c r="H619" t="inlineStr">
        <is>
          <t>Sveaskog</t>
        </is>
      </c>
      <c r="I619" t="n">
        <v>9.9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S 849-2025</t>
        </is>
      </c>
      <c r="B620" t="inlineStr">
        <is>
          <t>samrådsanmälan</t>
        </is>
      </c>
      <c r="C620" t="inlineStr">
        <is>
          <t>Skogsgödsling</t>
        </is>
      </c>
      <c r="D620" s="1" t="n">
        <v>45733</v>
      </c>
      <c r="E620" s="1" t="n">
        <v>46324</v>
      </c>
      <c r="F620" t="inlineStr">
        <is>
          <t>NORRBOTTENS LÄN</t>
        </is>
      </c>
      <c r="G620" t="inlineStr">
        <is>
          <t>KALIX</t>
        </is>
      </c>
      <c r="I620" t="n">
        <v>4.6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S 1018-2025</t>
        </is>
      </c>
      <c r="B621" t="inlineStr">
        <is>
          <t>samrådsanmälan</t>
        </is>
      </c>
      <c r="C621" t="inlineStr">
        <is>
          <t>Skogsgödsling</t>
        </is>
      </c>
      <c r="D621" s="1" t="n">
        <v>45747</v>
      </c>
      <c r="E621" s="1" t="n">
        <v>46324</v>
      </c>
      <c r="F621" t="inlineStr">
        <is>
          <t>NORRBOTTENS LÄN</t>
        </is>
      </c>
      <c r="G621" t="inlineStr">
        <is>
          <t>KALIX</t>
        </is>
      </c>
      <c r="I621" t="n">
        <v>4.7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S 1019-2025</t>
        </is>
      </c>
      <c r="B622" t="inlineStr">
        <is>
          <t>samrådsanmälan</t>
        </is>
      </c>
      <c r="C622" t="inlineStr">
        <is>
          <t>Skogsgödsling</t>
        </is>
      </c>
      <c r="D622" s="1" t="n">
        <v>45747</v>
      </c>
      <c r="E622" s="1" t="n">
        <v>46324</v>
      </c>
      <c r="F622" t="inlineStr">
        <is>
          <t>NORRBOTTENS LÄN</t>
        </is>
      </c>
      <c r="G622" t="inlineStr">
        <is>
          <t>KALIX</t>
        </is>
      </c>
      <c r="I622" t="n">
        <v>6.9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S 1176-2025</t>
        </is>
      </c>
      <c r="B623" t="inlineStr">
        <is>
          <t>samrådsanmälan</t>
        </is>
      </c>
      <c r="C623" t="inlineStr">
        <is>
          <t>Skogsgödsling</t>
        </is>
      </c>
      <c r="D623" s="1" t="n">
        <v>45756</v>
      </c>
      <c r="E623" s="1" t="n">
        <v>46324</v>
      </c>
      <c r="F623" t="inlineStr">
        <is>
          <t>NORRBOTTENS LÄN</t>
        </is>
      </c>
      <c r="G623" t="inlineStr">
        <is>
          <t>KALIX</t>
        </is>
      </c>
      <c r="I623" t="n">
        <v>17.6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S 1356-2025</t>
        </is>
      </c>
      <c r="B624" t="inlineStr">
        <is>
          <t>samrådsanmälan</t>
        </is>
      </c>
      <c r="C624" t="inlineStr">
        <is>
          <t>Skogsgödsling</t>
        </is>
      </c>
      <c r="D624" s="1" t="n">
        <v>45775</v>
      </c>
      <c r="E624" s="1" t="n">
        <v>46324</v>
      </c>
      <c r="F624" t="inlineStr">
        <is>
          <t>NORRBOTTENS LÄN</t>
        </is>
      </c>
      <c r="G624" t="inlineStr">
        <is>
          <t>KALIX</t>
        </is>
      </c>
      <c r="I624" t="n">
        <v>5.7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S 1355-2025</t>
        </is>
      </c>
      <c r="B625" t="inlineStr">
        <is>
          <t>samrådsanmälan</t>
        </is>
      </c>
      <c r="C625" t="inlineStr">
        <is>
          <t>Skogsgödsling</t>
        </is>
      </c>
      <c r="D625" s="1" t="n">
        <v>45775</v>
      </c>
      <c r="E625" s="1" t="n">
        <v>46324</v>
      </c>
      <c r="F625" t="inlineStr">
        <is>
          <t>NORRBOTTENS LÄN</t>
        </is>
      </c>
      <c r="G625" t="inlineStr">
        <is>
          <t>KALIX</t>
        </is>
      </c>
      <c r="I625" t="n">
        <v>36.9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S 1493-2026</t>
        </is>
      </c>
      <c r="B626" t="inlineStr">
        <is>
          <t>samrådsanmälan</t>
        </is>
      </c>
      <c r="C626" t="inlineStr">
        <is>
          <t>Skogsgödsling</t>
        </is>
      </c>
      <c r="D626" s="1" t="n">
        <v>46162</v>
      </c>
      <c r="E626" s="1" t="n">
        <v>46324</v>
      </c>
      <c r="F626" t="inlineStr">
        <is>
          <t>NORRBOTTENS LÄN</t>
        </is>
      </c>
      <c r="G626" t="inlineStr">
        <is>
          <t>KALIX</t>
        </is>
      </c>
      <c r="I626" t="n">
        <v>13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S 1798-2026</t>
        </is>
      </c>
      <c r="B627" t="inlineStr">
        <is>
          <t>samrådsanmälan</t>
        </is>
      </c>
      <c r="C627" t="inlineStr">
        <is>
          <t>Skogsgödsling</t>
        </is>
      </c>
      <c r="D627" s="1" t="n">
        <v>46190</v>
      </c>
      <c r="E627" s="1" t="n">
        <v>46324</v>
      </c>
      <c r="F627" t="inlineStr">
        <is>
          <t>NORRBOTTENS LÄN</t>
        </is>
      </c>
      <c r="G627" t="inlineStr">
        <is>
          <t>KALIX</t>
        </is>
      </c>
      <c r="I627" t="n">
        <v>12.8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>
      <c r="A628" t="inlineStr">
        <is>
          <t>S 1797-2026</t>
        </is>
      </c>
      <c r="B628" t="inlineStr">
        <is>
          <t>samrådsanmälan</t>
        </is>
      </c>
      <c r="C628" t="inlineStr">
        <is>
          <t>Skogsgödsling</t>
        </is>
      </c>
      <c r="D628" s="1" t="n">
        <v>46190</v>
      </c>
      <c r="E628" s="1" t="n">
        <v>46324</v>
      </c>
      <c r="F628" t="inlineStr">
        <is>
          <t>NORRBOTTENS LÄN</t>
        </is>
      </c>
      <c r="G628" t="inlineStr">
        <is>
          <t>KALIX</t>
        </is>
      </c>
      <c r="I628" t="n">
        <v>17.6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2026-10-29T03:14:58Z</dcterms:created>
  <dcterms:modified xmlns:dcterms="http://purl.org/dc/terms/" xmlns:xsi="http://www.w3.org/2001/XMLSchema-instance" xsi:type="dcterms:W3CDTF">2026-10-29T03:14:59Z</dcterms:modified>
</cp:coreProperties>
</file>