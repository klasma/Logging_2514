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46320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46320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46320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46320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46320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46320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46320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46320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46320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46320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46320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46320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46320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46320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46320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46320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46320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46320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A 24923-2022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46320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2.9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Garnlav
Gammelgransskål</t>
        </is>
      </c>
      <c r="W20">
        <f>HYPERLINK("https://klasma.github.io/Logging_2514/artfynd/A 24923-2022 artfynd.xlsx", "A 24923-2022")</f>
        <v/>
      </c>
      <c r="X20">
        <f>HYPERLINK("https://klasma.github.io/Logging_2514/kartor/A 24923-2022 karta.png", "A 24923-2022")</f>
        <v/>
      </c>
      <c r="Y20">
        <f>HYPERLINK("https://klasma.github.io/Logging_2514/kartor_geotiff/A 24923-2022 georefererad karta.tif", "A 24923-2022")</f>
        <v/>
      </c>
      <c r="AA20">
        <f>HYPERLINK("https://klasma.github.io/Logging_2514/klagomål/A 24923-2022 FSC-klagomål.docx", "A 24923-2022")</f>
        <v/>
      </c>
      <c r="AB20">
        <f>HYPERLINK("https://klasma.github.io/Logging_2514/klagomålsmail/A 24923-2022 FSC-klagomål mail.docx", "A 24923-2022")</f>
        <v/>
      </c>
      <c r="AC20">
        <f>HYPERLINK("https://klasma.github.io/Logging_2514/tillsyn/A 24923-2022 tillsynsbegäran.docx", "A 24923-2022")</f>
        <v/>
      </c>
      <c r="AD20">
        <f>HYPERLINK("https://klasma.github.io/Logging_2514/tillsynsmail/A 24923-2022 tillsynsbegäran mail.docx", "A 24923-2022")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46320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46320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46320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46320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24466-2026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46320</v>
      </c>
      <c r="F25" t="inlineStr">
        <is>
          <t>NORRBOTTENS LÄN</t>
        </is>
      </c>
      <c r="G25" t="inlineStr">
        <is>
          <t>KALIX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Spillkråka</t>
        </is>
      </c>
      <c r="W25">
        <f>HYPERLINK("https://klasma.github.io/Logging_2514/artfynd/A 24466-2026 artfynd.xlsx", "A 24466-2026")</f>
        <v/>
      </c>
      <c r="X25">
        <f>HYPERLINK("https://klasma.github.io/Logging_2514/kartor/A 24466-2026 karta.png", "A 24466-2026")</f>
        <v/>
      </c>
      <c r="Y25">
        <f>HYPERLINK("https://klasma.github.io/Logging_2514/kartor_geotiff/A 24466-2026 georefererad karta.tif", "A 24466-2026")</f>
        <v/>
      </c>
      <c r="AA25">
        <f>HYPERLINK("https://klasma.github.io/Logging_2514/klagomål/A 24466-2026 FSC-klagomål.docx", "A 24466-2026")</f>
        <v/>
      </c>
      <c r="AB25">
        <f>HYPERLINK("https://klasma.github.io/Logging_2514/klagomålsmail/A 24466-2026 FSC-klagomål mail.docx", "A 24466-2026")</f>
        <v/>
      </c>
      <c r="AC25">
        <f>HYPERLINK("https://klasma.github.io/Logging_2514/tillsyn/A 24466-2026 tillsynsbegäran.docx", "A 24466-2026")</f>
        <v/>
      </c>
      <c r="AD25">
        <f>HYPERLINK("https://klasma.github.io/Logging_2514/tillsynsmail/A 24466-2026 tillsynsbegäran mail.docx", "A 24466-2026")</f>
        <v/>
      </c>
      <c r="AE25">
        <f>HYPERLINK("https://klasma.github.io/Logging_2514/fåglar/A 24466-2026 prioriterade fågelarter.docx", "A 24466-2026")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46320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46320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30693-2026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46211</v>
      </c>
      <c r="E28" s="1" t="n">
        <v>46320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Garnlav</t>
        </is>
      </c>
      <c r="W28">
        <f>HYPERLINK("https://klasma.github.io/Logging_2514/artfynd/A 30693-2026 artfynd.xlsx", "A 30693-2026")</f>
        <v/>
      </c>
      <c r="X28">
        <f>HYPERLINK("https://klasma.github.io/Logging_2514/kartor/A 30693-2026 karta.png", "A 30693-2026")</f>
        <v/>
      </c>
      <c r="Y28">
        <f>HYPERLINK("https://klasma.github.io/Logging_2514/kartor_geotiff/A 30693-2026 georefererad karta.tif", "A 30693-2026")</f>
        <v/>
      </c>
      <c r="AA28">
        <f>HYPERLINK("https://klasma.github.io/Logging_2514/klagomål/A 30693-2026 FSC-klagomål.docx", "A 30693-2026")</f>
        <v/>
      </c>
      <c r="AB28">
        <f>HYPERLINK("https://klasma.github.io/Logging_2514/klagomålsmail/A 30693-2026 FSC-klagomål mail.docx", "A 30693-2026")</f>
        <v/>
      </c>
      <c r="AC28">
        <f>HYPERLINK("https://klasma.github.io/Logging_2514/tillsyn/A 30693-2026 tillsynsbegäran.docx", "A 30693-2026")</f>
        <v/>
      </c>
      <c r="AD28">
        <f>HYPERLINK("https://klasma.github.io/Logging_2514/tillsynsmail/A 30693-2026 tillsynsbegäran mail.docx", "A 30693-2026")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46320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Tallticka</t>
        </is>
      </c>
      <c r="W29">
        <f>HYPERLINK("https://klasma.github.io/Logging_2514/artfynd/A 23787-2026 artfynd.xlsx", "A 23787-2026")</f>
        <v/>
      </c>
      <c r="X29">
        <f>HYPERLINK("https://klasma.github.io/Logging_2514/kartor/A 23787-2026 karta.png", "A 23787-2026")</f>
        <v/>
      </c>
      <c r="Y29">
        <f>HYPERLINK("https://klasma.github.io/Logging_2514/kartor_geotiff/A 23787-2026 georefererad karta.tif", "A 23787-2026")</f>
        <v/>
      </c>
      <c r="AA29">
        <f>HYPERLINK("https://klasma.github.io/Logging_2514/klagomål/A 23787-2026 FSC-klagomål.docx", "A 23787-2026")</f>
        <v/>
      </c>
      <c r="AB29">
        <f>HYPERLINK("https://klasma.github.io/Logging_2514/klagomålsmail/A 23787-2026 FSC-klagomål mail.docx", "A 23787-2026")</f>
        <v/>
      </c>
      <c r="AC29">
        <f>HYPERLINK("https://klasma.github.io/Logging_2514/tillsyn/A 23787-2026 tillsynsbegäran.docx", "A 23787-2026")</f>
        <v/>
      </c>
      <c r="AD29">
        <f>HYPERLINK("https://klasma.github.io/Logging_2514/tillsynsmail/A 23787-2026 tillsynsbegäran mail.docx", "A 23787-2026")</f>
        <v/>
      </c>
    </row>
    <row r="30" ht="15" customHeight="1">
      <c r="A30" t="inlineStr">
        <is>
          <t>A 2336-2026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46320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2336-2026 artfynd.xlsx", "A 2336-2026")</f>
        <v/>
      </c>
      <c r="X30">
        <f>HYPERLINK("https://klasma.github.io/Logging_2514/kartor/A 2336-2026 karta.png", "A 2336-2026")</f>
        <v/>
      </c>
      <c r="Y30">
        <f>HYPERLINK("https://klasma.github.io/Logging_2514/kartor_geotiff/A 2336-2026 georefererad karta.tif", "A 2336-2026")</f>
        <v/>
      </c>
      <c r="AA30">
        <f>HYPERLINK("https://klasma.github.io/Logging_2514/klagomål/A 2336-2026 FSC-klagomål.docx", "A 2336-2026")</f>
        <v/>
      </c>
      <c r="AB30">
        <f>HYPERLINK("https://klasma.github.io/Logging_2514/klagomålsmail/A 2336-2026 FSC-klagomål mail.docx", "A 2336-2026")</f>
        <v/>
      </c>
      <c r="AC30">
        <f>HYPERLINK("https://klasma.github.io/Logging_2514/tillsyn/A 2336-2026 tillsynsbegäran.docx", "A 2336-2026")</f>
        <v/>
      </c>
      <c r="AD30">
        <f>HYPERLINK("https://klasma.github.io/Logging_2514/tillsynsmail/A 2336-2026 tillsynsbegäran mail.docx", "A 2336-2026")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46320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2320-2026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46320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Gammelgransskål</t>
        </is>
      </c>
      <c r="W32">
        <f>HYPERLINK("https://klasma.github.io/Logging_2514/artfynd/A 2320-2026 artfynd.xlsx", "A 2320-2026")</f>
        <v/>
      </c>
      <c r="X32">
        <f>HYPERLINK("https://klasma.github.io/Logging_2514/kartor/A 2320-2026 karta.png", "A 2320-2026")</f>
        <v/>
      </c>
      <c r="Y32">
        <f>HYPERLINK("https://klasma.github.io/Logging_2514/kartor_geotiff/A 2320-2026 georefererad karta.tif", "A 2320-2026")</f>
        <v/>
      </c>
      <c r="AA32">
        <f>HYPERLINK("https://klasma.github.io/Logging_2514/klagomål/A 2320-2026 FSC-klagomål.docx", "A 2320-2026")</f>
        <v/>
      </c>
      <c r="AB32">
        <f>HYPERLINK("https://klasma.github.io/Logging_2514/klagomålsmail/A 2320-2026 FSC-klagomål mail.docx", "A 2320-2026")</f>
        <v/>
      </c>
      <c r="AC32">
        <f>HYPERLINK("https://klasma.github.io/Logging_2514/tillsyn/A 2320-2026 tillsynsbegäran.docx", "A 2320-2026")</f>
        <v/>
      </c>
      <c r="AD32">
        <f>HYPERLINK("https://klasma.github.io/Logging_2514/tillsynsmail/A 2320-2026 tillsynsbegäran mail.docx", "A 2320-2026")</f>
        <v/>
      </c>
    </row>
    <row r="33" ht="15" customHeight="1">
      <c r="A33" t="inlineStr">
        <is>
          <t>A 10071-2024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45364</v>
      </c>
      <c r="E33" s="1" t="n">
        <v>46320</v>
      </c>
      <c r="F33" t="inlineStr">
        <is>
          <t>NORRBOTTENS LÄN</t>
        </is>
      </c>
      <c r="G33" t="inlineStr">
        <is>
          <t>KALIX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Garnlav</t>
        </is>
      </c>
      <c r="W33">
        <f>HYPERLINK("https://klasma.github.io/Logging_2514/artfynd/A 10071-2024 artfynd.xlsx", "A 10071-2024")</f>
        <v/>
      </c>
      <c r="X33">
        <f>HYPERLINK("https://klasma.github.io/Logging_2514/kartor/A 10071-2024 karta.png", "A 10071-2024")</f>
        <v/>
      </c>
      <c r="Y33">
        <f>HYPERLINK("https://klasma.github.io/Logging_2514/kartor_geotiff/A 10071-2024 georefererad karta.tif", "A 10071-2024")</f>
        <v/>
      </c>
      <c r="AA33">
        <f>HYPERLINK("https://klasma.github.io/Logging_2514/klagomål/A 10071-2024 FSC-klagomål.docx", "A 10071-2024")</f>
        <v/>
      </c>
      <c r="AB33">
        <f>HYPERLINK("https://klasma.github.io/Logging_2514/klagomålsmail/A 10071-2024 FSC-klagomål mail.docx", "A 10071-2024")</f>
        <v/>
      </c>
      <c r="AC33">
        <f>HYPERLINK("https://klasma.github.io/Logging_2514/tillsyn/A 10071-2024 tillsynsbegäran.docx", "A 10071-2024")</f>
        <v/>
      </c>
      <c r="AD33">
        <f>HYPERLINK("https://klasma.github.io/Logging_2514/tillsynsmail/A 10071-2024 tillsynsbegäran mail.docx", "A 10071-2024")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46320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46320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A 20584-2026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46140</v>
      </c>
      <c r="E36" s="1" t="n">
        <v>46320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8.6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Stuplav</t>
        </is>
      </c>
      <c r="W36">
        <f>HYPERLINK("https://klasma.github.io/Logging_2514/artfynd/A 20584-2026 artfynd.xlsx", "A 20584-2026")</f>
        <v/>
      </c>
      <c r="X36">
        <f>HYPERLINK("https://klasma.github.io/Logging_2514/kartor/A 20584-2026 karta.png", "A 20584-2026")</f>
        <v/>
      </c>
      <c r="Y36">
        <f>HYPERLINK("https://klasma.github.io/Logging_2514/kartor_geotiff/A 20584-2026 georefererad karta.tif", "A 20584-2026")</f>
        <v/>
      </c>
      <c r="AA36">
        <f>HYPERLINK("https://klasma.github.io/Logging_2514/klagomål/A 20584-2026 FSC-klagomål.docx", "A 20584-2026")</f>
        <v/>
      </c>
      <c r="AB36">
        <f>HYPERLINK("https://klasma.github.io/Logging_2514/klagomålsmail/A 20584-2026 FSC-klagomål mail.docx", "A 20584-2026")</f>
        <v/>
      </c>
      <c r="AC36">
        <f>HYPERLINK("https://klasma.github.io/Logging_2514/tillsyn/A 20584-2026 tillsynsbegäran.docx", "A 20584-2026")</f>
        <v/>
      </c>
      <c r="AD36">
        <f>HYPERLINK("https://klasma.github.io/Logging_2514/tillsynsmail/A 20584-2026 tillsynsbegäran mail.docx", "A 20584-2026")</f>
        <v/>
      </c>
    </row>
    <row r="37" ht="15" customHeight="1">
      <c r="A37" t="inlineStr">
        <is>
          <t>A 21552-2023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46320</v>
      </c>
      <c r="F37" t="inlineStr">
        <is>
          <t>NORRBOTTENS LÄN</t>
        </is>
      </c>
      <c r="G37" t="inlineStr">
        <is>
          <t>KALIX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HYPERLINK("https://klasma.github.io/Logging_2514/artfynd/A 21552-2023 artfynd.xlsx", "A 21552-2023")</f>
        <v/>
      </c>
      <c r="X37">
        <f>HYPERLINK("https://klasma.github.io/Logging_2514/kartor/A 21552-2023 karta.png", "A 21552-2023")</f>
        <v/>
      </c>
      <c r="Y37">
        <f>HYPERLINK("https://klasma.github.io/Logging_2514/kartor_geotiff/A 21552-2023 georefererad karta.tif", "A 21552-2023")</f>
        <v/>
      </c>
      <c r="AA37">
        <f>HYPERLINK("https://klasma.github.io/Logging_2514/klagomål/A 21552-2023 FSC-klagomål.docx", "A 21552-2023")</f>
        <v/>
      </c>
      <c r="AB37">
        <f>HYPERLINK("https://klasma.github.io/Logging_2514/klagomålsmail/A 21552-2023 FSC-klagomål mail.docx", "A 21552-2023")</f>
        <v/>
      </c>
      <c r="AC37">
        <f>HYPERLINK("https://klasma.github.io/Logging_2514/tillsyn/A 21552-2023 tillsynsbegäran.docx", "A 21552-2023")</f>
        <v/>
      </c>
      <c r="AD37">
        <f>HYPERLINK("https://klasma.github.io/Logging_2514/tillsynsmail/A 21552-2023 tillsynsbegäran mail.docx", "A 21552-2023")</f>
        <v/>
      </c>
    </row>
    <row r="38" ht="15" customHeight="1">
      <c r="A38" t="inlineStr">
        <is>
          <t>S 293-2023</t>
        </is>
      </c>
      <c r="B38" t="inlineStr">
        <is>
          <t>samrådsanmälan</t>
        </is>
      </c>
      <c r="C38" t="inlineStr">
        <is>
          <t>Skogsgödsling</t>
        </is>
      </c>
      <c r="D38" s="1" t="n">
        <v>44956</v>
      </c>
      <c r="E38" s="1" t="n">
        <v>46320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290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HYPERLINK("https://klasma.github.io/Logging_2514/artfynd/S 293-2023 artfynd.xlsx", "S 293-2023")</f>
        <v/>
      </c>
      <c r="X38">
        <f>HYPERLINK("https://klasma.github.io/Logging_2514/kartor/S 293-2023 karta.png", "S 293-2023")</f>
        <v/>
      </c>
      <c r="Y38">
        <f>HYPERLINK("https://klasma.github.io/Logging_2514/kartor_geotiff/S 293-2023 georefererad karta.tif", "S 293-2023")</f>
        <v/>
      </c>
      <c r="AA38">
        <f>HYPERLINK("https://klasma.github.io/Logging_2514/klagomål/S 293-2023 FSC-klagomål.docx", "S 293-2023")</f>
        <v/>
      </c>
      <c r="AB38">
        <f>HYPERLINK("https://klasma.github.io/Logging_2514/klagomålsmail/S 293-2023 FSC-klagomål mail.docx", "S 293-2023")</f>
        <v/>
      </c>
      <c r="AC38">
        <f>HYPERLINK("https://klasma.github.io/Logging_2514/tillsyn/S 293-2023 tillsynsbegäran.docx", "S 293-2023")</f>
        <v/>
      </c>
      <c r="AD38">
        <f>HYPERLINK("https://klasma.github.io/Logging_2514/tillsynsmail/S 293-2023 tillsynsbegäran mail.docx", "S 293-2023")</f>
        <v/>
      </c>
      <c r="AE38">
        <f>HYPERLINK("https://klasma.github.io/Logging_2514/fåglar/S 293-2023 prioriterade fågelarter.docx", "S 293-2023")</f>
        <v/>
      </c>
    </row>
    <row r="39" ht="15" customHeight="1">
      <c r="A39" t="inlineStr">
        <is>
          <t>S 1017-2025</t>
        </is>
      </c>
      <c r="B39" t="inlineStr">
        <is>
          <t>samrådsanmälan</t>
        </is>
      </c>
      <c r="C39" t="inlineStr">
        <is>
          <t>Skogsgödsling</t>
        </is>
      </c>
      <c r="D39" s="1" t="n">
        <v>45747</v>
      </c>
      <c r="E39" s="1" t="n">
        <v>46320</v>
      </c>
      <c r="F39" t="inlineStr">
        <is>
          <t>NORRBOTTENS LÄN</t>
        </is>
      </c>
      <c r="G39" t="inlineStr">
        <is>
          <t>KALIX</t>
        </is>
      </c>
      <c r="I39" t="n">
        <v>15.7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Liljekonvalj</t>
        </is>
      </c>
      <c r="W39">
        <f>HYPERLINK("https://klasma.github.io/Logging_2514/artfynd/S 1017-2025 artfynd.xlsx", "S 1017-2025")</f>
        <v/>
      </c>
      <c r="X39">
        <f>HYPERLINK("https://klasma.github.io/Logging_2514/kartor/S 1017-2025 karta.png", "S 1017-2025")</f>
        <v/>
      </c>
      <c r="Y39">
        <f>HYPERLINK("https://klasma.github.io/Logging_2514/kartor_geotiff/S 1017-2025 georefererad karta.tif", "S 1017-2025")</f>
        <v/>
      </c>
      <c r="AA39">
        <f>HYPERLINK("https://klasma.github.io/Logging_2514/klagomål/S 1017-2025 FSC-klagomål.docx", "S 1017-2025")</f>
        <v/>
      </c>
      <c r="AB39">
        <f>HYPERLINK("https://klasma.github.io/Logging_2514/klagomålsmail/S 1017-2025 FSC-klagomål mail.docx", "S 1017-2025")</f>
        <v/>
      </c>
      <c r="AC39">
        <f>HYPERLINK("https://klasma.github.io/Logging_2514/tillsyn/S 1017-2025 tillsynsbegäran.docx", "S 1017-2025")</f>
        <v/>
      </c>
      <c r="AD39">
        <f>HYPERLINK("https://klasma.github.io/Logging_2514/tillsynsmail/S 1017-2025 tillsynsbegäran mail.docx", "S 1017-2025")</f>
        <v/>
      </c>
    </row>
    <row r="40" ht="15" customHeight="1">
      <c r="A40" t="inlineStr">
        <is>
          <t>A 49193-2022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44860</v>
      </c>
      <c r="E40" s="1" t="n">
        <v>46320</v>
      </c>
      <c r="F40" t="inlineStr">
        <is>
          <t>NORRBOTTENS LÄN</t>
        </is>
      </c>
      <c r="G40" t="inlineStr">
        <is>
          <t>KALIX</t>
        </is>
      </c>
      <c r="H40" t="inlineStr">
        <is>
          <t>SCA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46320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46320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46320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46320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46320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46320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46320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46320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46320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46320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46320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46320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46320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46320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46320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46320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46320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46320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46320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46320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46320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46320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46320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45660</v>
      </c>
      <c r="E64" s="1" t="n">
        <v>46320</v>
      </c>
      <c r="F64" t="inlineStr">
        <is>
          <t>NORRBOTTENS LÄN</t>
        </is>
      </c>
      <c r="G64" t="inlineStr">
        <is>
          <t>KALIX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46320</v>
      </c>
      <c r="F65" t="inlineStr">
        <is>
          <t>NORRBOTTENS LÄN</t>
        </is>
      </c>
      <c r="G65" t="inlineStr">
        <is>
          <t>KALIX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46320</v>
      </c>
      <c r="F66" t="inlineStr">
        <is>
          <t>NORRBOTTENS LÄN</t>
        </is>
      </c>
      <c r="G66" t="inlineStr">
        <is>
          <t>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46320</v>
      </c>
      <c r="F67" t="inlineStr">
        <is>
          <t>NORRBOTTENS LÄN</t>
        </is>
      </c>
      <c r="G67" t="inlineStr">
        <is>
          <t>KALIX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46320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45036</v>
      </c>
      <c r="E69" s="1" t="n">
        <v>46320</v>
      </c>
      <c r="F69" t="inlineStr">
        <is>
          <t>NORRBOTTENS LÄN</t>
        </is>
      </c>
      <c r="G69" t="inlineStr">
        <is>
          <t>KALIX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46320</v>
      </c>
      <c r="F70" t="inlineStr">
        <is>
          <t>NORRBOTTENS LÄN</t>
        </is>
      </c>
      <c r="G70" t="inlineStr">
        <is>
          <t>KALIX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46320</v>
      </c>
      <c r="F71" t="inlineStr">
        <is>
          <t>NORRBOTTENS LÄN</t>
        </is>
      </c>
      <c r="G71" t="inlineStr">
        <is>
          <t>KALIX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46320</v>
      </c>
      <c r="F72" t="inlineStr">
        <is>
          <t>NORRBOTTENS LÄN</t>
        </is>
      </c>
      <c r="G72" t="inlineStr">
        <is>
          <t>KALIX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39958-2025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45892</v>
      </c>
      <c r="E73" s="1" t="n">
        <v>46320</v>
      </c>
      <c r="F73" t="inlineStr">
        <is>
          <t>NORRBOTTENS LÄN</t>
        </is>
      </c>
      <c r="G73" t="inlineStr">
        <is>
          <t>KALIX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45892</v>
      </c>
      <c r="E74" s="1" t="n">
        <v>46320</v>
      </c>
      <c r="F74" t="inlineStr">
        <is>
          <t>NORRBOTTENS LÄN</t>
        </is>
      </c>
      <c r="G74" t="inlineStr">
        <is>
          <t>KALIX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46320</v>
      </c>
      <c r="F75" t="inlineStr">
        <is>
          <t>NORRBOTTENS LÄN</t>
        </is>
      </c>
      <c r="G75" t="inlineStr">
        <is>
          <t>KALIX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46320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46320</v>
      </c>
      <c r="F77" t="inlineStr">
        <is>
          <t>NORRBOTTENS LÄN</t>
        </is>
      </c>
      <c r="G77" t="inlineStr">
        <is>
          <t>KALIX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46320</v>
      </c>
      <c r="F78" t="inlineStr">
        <is>
          <t>NORRBOTTENS LÄN</t>
        </is>
      </c>
      <c r="G78" t="inlineStr">
        <is>
          <t>KALIX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46320</v>
      </c>
      <c r="F79" t="inlineStr">
        <is>
          <t>NORRBOTTENS LÄN</t>
        </is>
      </c>
      <c r="G79" t="inlineStr">
        <is>
          <t>KALIX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45406</v>
      </c>
      <c r="E80" s="1" t="n">
        <v>46320</v>
      </c>
      <c r="F80" t="inlineStr">
        <is>
          <t>NORRBOTTENS LÄN</t>
        </is>
      </c>
      <c r="G80" t="inlineStr">
        <is>
          <t>KALIX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44901</v>
      </c>
      <c r="E81" s="1" t="n">
        <v>46320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42649-2025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45906</v>
      </c>
      <c r="E82" s="1" t="n">
        <v>46320</v>
      </c>
      <c r="F82" t="inlineStr">
        <is>
          <t>NORRBOTTENS LÄN</t>
        </is>
      </c>
      <c r="G82" t="inlineStr">
        <is>
          <t>KALIX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46160</v>
      </c>
      <c r="E83" s="1" t="n">
        <v>46320</v>
      </c>
      <c r="F83" t="inlineStr">
        <is>
          <t>NORRBOTTENS LÄN</t>
        </is>
      </c>
      <c r="G83" t="inlineStr">
        <is>
          <t>KALIX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46320</v>
      </c>
      <c r="F84" t="inlineStr">
        <is>
          <t>NORRBOTTENS LÄN</t>
        </is>
      </c>
      <c r="G84" t="inlineStr">
        <is>
          <t>KALIX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46320</v>
      </c>
      <c r="F85" t="inlineStr">
        <is>
          <t>NORRBOTTENS LÄN</t>
        </is>
      </c>
      <c r="G85" t="inlineStr">
        <is>
          <t>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46160</v>
      </c>
      <c r="E86" s="1" t="n">
        <v>46320</v>
      </c>
      <c r="F86" t="inlineStr">
        <is>
          <t>NORRBOTTENS LÄN</t>
        </is>
      </c>
      <c r="G86" t="inlineStr">
        <is>
          <t>KALIX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46320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46320</v>
      </c>
      <c r="F88" t="inlineStr">
        <is>
          <t>NORRBOTTENS LÄN</t>
        </is>
      </c>
      <c r="G88" t="inlineStr">
        <is>
          <t>KALIX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44239-2025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46320</v>
      </c>
      <c r="F89" t="inlineStr">
        <is>
          <t>NORRBOTTENS LÄN</t>
        </is>
      </c>
      <c r="G89" t="inlineStr">
        <is>
          <t>KALIX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44246-2025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46320</v>
      </c>
      <c r="F90" t="inlineStr">
        <is>
          <t>NORRBOTTENS LÄN</t>
        </is>
      </c>
      <c r="G90" t="inlineStr">
        <is>
          <t>KALIX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44350-2025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46320</v>
      </c>
      <c r="F91" t="inlineStr">
        <is>
          <t>NORRBOTTENS LÄN</t>
        </is>
      </c>
      <c r="G91" t="inlineStr">
        <is>
          <t>KALIX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55539-2024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45622</v>
      </c>
      <c r="E92" s="1" t="n">
        <v>46320</v>
      </c>
      <c r="F92" t="inlineStr">
        <is>
          <t>NORRBOTTENS LÄN</t>
        </is>
      </c>
      <c r="G92" t="inlineStr">
        <is>
          <t>KALIX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46320</v>
      </c>
      <c r="F93" t="inlineStr">
        <is>
          <t>NORRBOTTENS LÄN</t>
        </is>
      </c>
      <c r="G93" t="inlineStr">
        <is>
          <t>KALIX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46320</v>
      </c>
      <c r="F94" t="inlineStr">
        <is>
          <t>NORRBOTTENS LÄN</t>
        </is>
      </c>
      <c r="G94" t="inlineStr">
        <is>
          <t>KALIX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46320</v>
      </c>
      <c r="F95" t="inlineStr">
        <is>
          <t>NORRBOTTENS LÄN</t>
        </is>
      </c>
      <c r="G95" t="inlineStr">
        <is>
          <t>KALIX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46320</v>
      </c>
      <c r="F96" t="inlineStr">
        <is>
          <t>NORRBOTTENS LÄN</t>
        </is>
      </c>
      <c r="G96" t="inlineStr">
        <is>
          <t>KALIX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46320</v>
      </c>
      <c r="F97" t="inlineStr">
        <is>
          <t>NORRBOTTENS LÄN</t>
        </is>
      </c>
      <c r="G97" t="inlineStr">
        <is>
          <t>KALIX</t>
        </is>
      </c>
      <c r="I97" t="n">
        <v>63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46320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45712</v>
      </c>
      <c r="E99" s="1" t="n">
        <v>46320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46320</v>
      </c>
      <c r="F100" t="inlineStr">
        <is>
          <t>NORRBOTTENS LÄN</t>
        </is>
      </c>
      <c r="G100" t="inlineStr">
        <is>
          <t>KALIX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46320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46320</v>
      </c>
      <c r="F102" t="inlineStr">
        <is>
          <t>NORRBOTTENS LÄN</t>
        </is>
      </c>
      <c r="G102" t="inlineStr">
        <is>
          <t>KALIX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46320</v>
      </c>
      <c r="F103" t="inlineStr">
        <is>
          <t>NORRBOTTENS LÄN</t>
        </is>
      </c>
      <c r="G103" t="inlineStr">
        <is>
          <t>KALIX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46167</v>
      </c>
      <c r="E104" s="1" t="n">
        <v>46320</v>
      </c>
      <c r="F104" t="inlineStr">
        <is>
          <t>NORRBOTTENS LÄN</t>
        </is>
      </c>
      <c r="G104" t="inlineStr">
        <is>
          <t>KALIX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46320</v>
      </c>
      <c r="F105" t="inlineStr">
        <is>
          <t>NORRBOTTENS LÄN</t>
        </is>
      </c>
      <c r="G105" t="inlineStr">
        <is>
          <t>KALIX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46320</v>
      </c>
      <c r="F106" t="inlineStr">
        <is>
          <t>NORRBOTTENS LÄN</t>
        </is>
      </c>
      <c r="G106" t="inlineStr">
        <is>
          <t>KALIX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46320</v>
      </c>
      <c r="F107" t="inlineStr">
        <is>
          <t>NORRBOTTENS LÄN</t>
        </is>
      </c>
      <c r="G107" t="inlineStr">
        <is>
          <t>KALIX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46320</v>
      </c>
      <c r="F108" t="inlineStr">
        <is>
          <t>NORRBOTTENS LÄN</t>
        </is>
      </c>
      <c r="G108" t="inlineStr">
        <is>
          <t>KALIX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46320</v>
      </c>
      <c r="F109" t="inlineStr">
        <is>
          <t>NORRBOTTENS LÄN</t>
        </is>
      </c>
      <c r="G109" t="inlineStr">
        <is>
          <t>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46320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45641</v>
      </c>
      <c r="E111" s="1" t="n">
        <v>46320</v>
      </c>
      <c r="F111" t="inlineStr">
        <is>
          <t>NORRBOTTENS LÄN</t>
        </is>
      </c>
      <c r="G111" t="inlineStr">
        <is>
          <t>KALIX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35051-2023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45145</v>
      </c>
      <c r="E112" s="1" t="n">
        <v>46320</v>
      </c>
      <c r="F112" t="inlineStr">
        <is>
          <t>NORRBOTTENS LÄN</t>
        </is>
      </c>
      <c r="G112" t="inlineStr">
        <is>
          <t>KALIX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46320</v>
      </c>
      <c r="F113" t="inlineStr">
        <is>
          <t>NORRBOTTENS LÄN</t>
        </is>
      </c>
      <c r="G113" t="inlineStr">
        <is>
          <t>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46320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46320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46320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46320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47983-2025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45932</v>
      </c>
      <c r="E118" s="1" t="n">
        <v>46320</v>
      </c>
      <c r="F118" t="inlineStr">
        <is>
          <t>NORRBOTTENS LÄN</t>
        </is>
      </c>
      <c r="G118" t="inlineStr">
        <is>
          <t>KALIX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46320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46320</v>
      </c>
      <c r="F120" t="inlineStr">
        <is>
          <t>NORRBOTTENS LÄN</t>
        </is>
      </c>
      <c r="G120" t="inlineStr">
        <is>
          <t>KALIX</t>
        </is>
      </c>
      <c r="H120" t="inlineStr">
        <is>
          <t>Sveaskog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46320</v>
      </c>
      <c r="F121" t="inlineStr">
        <is>
          <t>NORRBOTTENS LÄN</t>
        </is>
      </c>
      <c r="G121" t="inlineStr">
        <is>
          <t>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46320</v>
      </c>
      <c r="F122" t="inlineStr">
        <is>
          <t>NORRBOTTENS LÄN</t>
        </is>
      </c>
      <c r="G122" t="inlineStr">
        <is>
          <t>KALIX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46320</v>
      </c>
      <c r="F123" t="inlineStr">
        <is>
          <t>NORRBOTTENS LÄN</t>
        </is>
      </c>
      <c r="G123" t="inlineStr">
        <is>
          <t>KALIX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46320</v>
      </c>
      <c r="F124" t="inlineStr">
        <is>
          <t>NORRBOTTENS LÄN</t>
        </is>
      </c>
      <c r="G124" t="inlineStr">
        <is>
          <t>KALIX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46320</v>
      </c>
      <c r="F125" t="inlineStr">
        <is>
          <t>NORRBOTTENS LÄN</t>
        </is>
      </c>
      <c r="G125" t="inlineStr">
        <is>
          <t>KALIX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46320</v>
      </c>
      <c r="F126" t="inlineStr">
        <is>
          <t>NORRBOTTENS LÄN</t>
        </is>
      </c>
      <c r="G126" t="inlineStr">
        <is>
          <t>KALIX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46320</v>
      </c>
      <c r="F127" t="inlineStr">
        <is>
          <t>NORRBOTTENS LÄN</t>
        </is>
      </c>
      <c r="G127" t="inlineStr">
        <is>
          <t>KALIX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46320</v>
      </c>
      <c r="F128" t="inlineStr">
        <is>
          <t>NORRBOTTENS LÄN</t>
        </is>
      </c>
      <c r="G128" t="inlineStr">
        <is>
          <t>KALIX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46320</v>
      </c>
      <c r="F129" t="inlineStr">
        <is>
          <t>NORRBOTTENS LÄN</t>
        </is>
      </c>
      <c r="G129" t="inlineStr">
        <is>
          <t>KALIX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46320</v>
      </c>
      <c r="F130" t="inlineStr">
        <is>
          <t>NORRBOTTENS LÄN</t>
        </is>
      </c>
      <c r="G130" t="inlineStr">
        <is>
          <t>KALIX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46320</v>
      </c>
      <c r="F131" t="inlineStr">
        <is>
          <t>NORRBOTTENS LÄN</t>
        </is>
      </c>
      <c r="G131" t="inlineStr">
        <is>
          <t>KALIX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46320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46320</v>
      </c>
      <c r="F133" t="inlineStr">
        <is>
          <t>NORRBOTTENS LÄN</t>
        </is>
      </c>
      <c r="G133" t="inlineStr">
        <is>
          <t>KALIX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46320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46320</v>
      </c>
      <c r="F135" t="inlineStr">
        <is>
          <t>NORRBOTTENS LÄN</t>
        </is>
      </c>
      <c r="G135" t="inlineStr">
        <is>
          <t>KALIX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46320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46320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46320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46320</v>
      </c>
      <c r="F139" t="inlineStr">
        <is>
          <t>NORRBOTTENS LÄN</t>
        </is>
      </c>
      <c r="G139" t="inlineStr">
        <is>
          <t>KALIX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46320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46320</v>
      </c>
      <c r="F141" t="inlineStr">
        <is>
          <t>NORRBOTTENS LÄN</t>
        </is>
      </c>
      <c r="G141" t="inlineStr">
        <is>
          <t>KALIX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46320</v>
      </c>
      <c r="F142" t="inlineStr">
        <is>
          <t>NORRBOTTENS LÄN</t>
        </is>
      </c>
      <c r="G142" t="inlineStr">
        <is>
          <t>KALIX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46320</v>
      </c>
      <c r="F143" t="inlineStr">
        <is>
          <t>NORRBOTTENS LÄN</t>
        </is>
      </c>
      <c r="G143" t="inlineStr">
        <is>
          <t>KALIX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45943</v>
      </c>
      <c r="E144" s="1" t="n">
        <v>46320</v>
      </c>
      <c r="F144" t="inlineStr">
        <is>
          <t>NORRBOTTENS LÄN</t>
        </is>
      </c>
      <c r="G144" t="inlineStr">
        <is>
          <t>KALIX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46320</v>
      </c>
      <c r="F145" t="inlineStr">
        <is>
          <t>NORRBOTTENS LÄN</t>
        </is>
      </c>
      <c r="G145" t="inlineStr">
        <is>
          <t>KALIX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46320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46320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46320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46320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46320</v>
      </c>
      <c r="F150" t="inlineStr">
        <is>
          <t>NORRBOTTENS LÄN</t>
        </is>
      </c>
      <c r="G150" t="inlineStr">
        <is>
          <t>KALIX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50886-2025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46320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46320</v>
      </c>
      <c r="F152" t="inlineStr">
        <is>
          <t>NORRBOTTENS LÄN</t>
        </is>
      </c>
      <c r="G152" t="inlineStr">
        <is>
          <t>KALIX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46320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46320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46320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46320</v>
      </c>
      <c r="F156" t="inlineStr">
        <is>
          <t>NORRBOTTENS LÄN</t>
        </is>
      </c>
      <c r="G156" t="inlineStr">
        <is>
          <t>KALIX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44894</v>
      </c>
      <c r="E157" s="1" t="n">
        <v>46320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46320</v>
      </c>
      <c r="F158" t="inlineStr">
        <is>
          <t>NORRBOTTENS LÄN</t>
        </is>
      </c>
      <c r="G158" t="inlineStr">
        <is>
          <t>KALIX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46320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46320</v>
      </c>
      <c r="F160" t="inlineStr">
        <is>
          <t>NORRBOTTENS LÄN</t>
        </is>
      </c>
      <c r="G160" t="inlineStr">
        <is>
          <t>KALIX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46320</v>
      </c>
      <c r="F161" t="inlineStr">
        <is>
          <t>NORRBOTTENS LÄN</t>
        </is>
      </c>
      <c r="G161" t="inlineStr">
        <is>
          <t>KALIX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46320</v>
      </c>
      <c r="F162" t="inlineStr">
        <is>
          <t>NORRBOTTENS LÄN</t>
        </is>
      </c>
      <c r="G162" t="inlineStr">
        <is>
          <t>KALIX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46320</v>
      </c>
      <c r="F163" t="inlineStr">
        <is>
          <t>NORRBOTTENS LÄN</t>
        </is>
      </c>
      <c r="G163" t="inlineStr">
        <is>
          <t>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45950</v>
      </c>
      <c r="E164" s="1" t="n">
        <v>46320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46320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46320</v>
      </c>
      <c r="F166" t="inlineStr">
        <is>
          <t>NORRBOTTENS LÄN</t>
        </is>
      </c>
      <c r="G166" t="inlineStr">
        <is>
          <t>KALIX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46320</v>
      </c>
      <c r="F167" t="inlineStr">
        <is>
          <t>NORRBOTTENS LÄN</t>
        </is>
      </c>
      <c r="G167" t="inlineStr">
        <is>
          <t>KALIX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46320</v>
      </c>
      <c r="F168" t="inlineStr">
        <is>
          <t>NORRBOTTENS LÄN</t>
        </is>
      </c>
      <c r="G168" t="inlineStr">
        <is>
          <t>KALIX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46320</v>
      </c>
      <c r="F169" t="inlineStr">
        <is>
          <t>NORRBOTTENS LÄN</t>
        </is>
      </c>
      <c r="G169" t="inlineStr">
        <is>
          <t>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46320</v>
      </c>
      <c r="F170" t="inlineStr">
        <is>
          <t>NORRBOTTENS LÄN</t>
        </is>
      </c>
      <c r="G170" t="inlineStr">
        <is>
          <t>KALIX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46320</v>
      </c>
      <c r="F171" t="inlineStr">
        <is>
          <t>NORRBOTTENS LÄN</t>
        </is>
      </c>
      <c r="G171" t="inlineStr">
        <is>
          <t>KALIX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46320</v>
      </c>
      <c r="F172" t="inlineStr">
        <is>
          <t>NORRBOTTENS LÄN</t>
        </is>
      </c>
      <c r="G172" t="inlineStr">
        <is>
          <t>KALIX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44898</v>
      </c>
      <c r="E173" s="1" t="n">
        <v>46320</v>
      </c>
      <c r="F173" t="inlineStr">
        <is>
          <t>NORRBOTTENS LÄN</t>
        </is>
      </c>
      <c r="G173" t="inlineStr">
        <is>
          <t>KALIX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46320</v>
      </c>
      <c r="F174" t="inlineStr">
        <is>
          <t>NORRBOTTENS LÄN</t>
        </is>
      </c>
      <c r="G174" t="inlineStr">
        <is>
          <t>KALIX</t>
        </is>
      </c>
      <c r="I174" t="n">
        <v>17.4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46320</v>
      </c>
      <c r="F175" t="inlineStr">
        <is>
          <t>NORRBOTTENS LÄN</t>
        </is>
      </c>
      <c r="G175" t="inlineStr">
        <is>
          <t>KALIX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46320</v>
      </c>
      <c r="F176" t="inlineStr">
        <is>
          <t>NORRBOTTENS LÄN</t>
        </is>
      </c>
      <c r="G176" t="inlineStr">
        <is>
          <t>KALIX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46320</v>
      </c>
      <c r="F177" t="inlineStr">
        <is>
          <t>NORRBOTTENS LÄN</t>
        </is>
      </c>
      <c r="G177" t="inlineStr">
        <is>
          <t>KALIX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46320</v>
      </c>
      <c r="F178" t="inlineStr">
        <is>
          <t>NORRBOTTENS LÄN</t>
        </is>
      </c>
      <c r="G178" t="inlineStr">
        <is>
          <t>KALIX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46320</v>
      </c>
      <c r="F179" t="inlineStr">
        <is>
          <t>NORRBOTTENS LÄN</t>
        </is>
      </c>
      <c r="G179" t="inlineStr">
        <is>
          <t>KALIX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46320</v>
      </c>
      <c r="F180" t="inlineStr">
        <is>
          <t>NORRBOTTENS LÄN</t>
        </is>
      </c>
      <c r="G180" t="inlineStr">
        <is>
          <t>KALIX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46320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46320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46320</v>
      </c>
      <c r="F183" t="inlineStr">
        <is>
          <t>NORRBOTTENS LÄN</t>
        </is>
      </c>
      <c r="G183" t="inlineStr">
        <is>
          <t>KALIX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46320</v>
      </c>
      <c r="F184" t="inlineStr">
        <is>
          <t>NORRBOTTENS LÄN</t>
        </is>
      </c>
      <c r="G184" t="inlineStr">
        <is>
          <t>KALIX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46320</v>
      </c>
      <c r="F185" t="inlineStr">
        <is>
          <t>NORRBOTTENS LÄN</t>
        </is>
      </c>
      <c r="G185" t="inlineStr">
        <is>
          <t>KALIX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46320</v>
      </c>
      <c r="F186" t="inlineStr">
        <is>
          <t>NORRBOTTENS LÄN</t>
        </is>
      </c>
      <c r="G186" t="inlineStr">
        <is>
          <t>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46320</v>
      </c>
      <c r="F187" t="inlineStr">
        <is>
          <t>NORRBOTTENS LÄN</t>
        </is>
      </c>
      <c r="G187" t="inlineStr">
        <is>
          <t>KALIX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46320</v>
      </c>
      <c r="F188" t="inlineStr">
        <is>
          <t>NORRBOTTENS LÄN</t>
        </is>
      </c>
      <c r="G188" t="inlineStr">
        <is>
          <t>KALIX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46320</v>
      </c>
      <c r="F189" t="inlineStr">
        <is>
          <t>NORRBOTTENS LÄN</t>
        </is>
      </c>
      <c r="G189" t="inlineStr">
        <is>
          <t>KALIX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46320</v>
      </c>
      <c r="F190" t="inlineStr">
        <is>
          <t>NORRBOTTENS LÄN</t>
        </is>
      </c>
      <c r="G190" t="inlineStr">
        <is>
          <t>KALIX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46195</v>
      </c>
      <c r="E191" s="1" t="n">
        <v>46320</v>
      </c>
      <c r="F191" t="inlineStr">
        <is>
          <t>NORRBOTTENS LÄN</t>
        </is>
      </c>
      <c r="G191" t="inlineStr">
        <is>
          <t>KALIX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46320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46320</v>
      </c>
      <c r="F193" t="inlineStr">
        <is>
          <t>NORRBOTTENS LÄN</t>
        </is>
      </c>
      <c r="G193" t="inlineStr">
        <is>
          <t>KALIX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46320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46320</v>
      </c>
      <c r="F195" t="inlineStr">
        <is>
          <t>NORRBOTTENS LÄN</t>
        </is>
      </c>
      <c r="G195" t="inlineStr">
        <is>
          <t>KALIX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46320</v>
      </c>
      <c r="F196" t="inlineStr">
        <is>
          <t>NORRBOTTENS LÄN</t>
        </is>
      </c>
      <c r="G196" t="inlineStr">
        <is>
          <t>KALIX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46320</v>
      </c>
      <c r="F197" t="inlineStr">
        <is>
          <t>NORRBOTTENS LÄN</t>
        </is>
      </c>
      <c r="G197" t="inlineStr">
        <is>
          <t>KALIX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46320</v>
      </c>
      <c r="F198" t="inlineStr">
        <is>
          <t>NORRBOTTENS LÄN</t>
        </is>
      </c>
      <c r="G198" t="inlineStr">
        <is>
          <t>KALIX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46320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46320</v>
      </c>
      <c r="F200" t="inlineStr">
        <is>
          <t>NORRBOTTENS LÄN</t>
        </is>
      </c>
      <c r="G200" t="inlineStr">
        <is>
          <t>KALIX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46320</v>
      </c>
      <c r="F201" t="inlineStr">
        <is>
          <t>NORRBOTTENS LÄN</t>
        </is>
      </c>
      <c r="G201" t="inlineStr">
        <is>
          <t>KALIX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46320</v>
      </c>
      <c r="F202" t="inlineStr">
        <is>
          <t>NORRBOTTENS LÄN</t>
        </is>
      </c>
      <c r="G202" t="inlineStr">
        <is>
          <t>KALIX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45816</v>
      </c>
      <c r="E203" s="1" t="n">
        <v>46320</v>
      </c>
      <c r="F203" t="inlineStr">
        <is>
          <t>NORRBOTTENS LÄN</t>
        </is>
      </c>
      <c r="G203" t="inlineStr">
        <is>
          <t>KALIX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46320</v>
      </c>
      <c r="F204" t="inlineStr">
        <is>
          <t>NORRBOTTENS LÄN</t>
        </is>
      </c>
      <c r="G204" t="inlineStr">
        <is>
          <t>KALIX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45173</v>
      </c>
      <c r="E205" s="1" t="n">
        <v>46320</v>
      </c>
      <c r="F205" t="inlineStr">
        <is>
          <t>NORRBOTTENS LÄN</t>
        </is>
      </c>
      <c r="G205" t="inlineStr">
        <is>
          <t>KALIX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46320</v>
      </c>
      <c r="F206" t="inlineStr">
        <is>
          <t>NORRBOTTENS LÄN</t>
        </is>
      </c>
      <c r="G206" t="inlineStr">
        <is>
          <t>KALIX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46320</v>
      </c>
      <c r="F207" t="inlineStr">
        <is>
          <t>NORRBOTTENS LÄN</t>
        </is>
      </c>
      <c r="G207" t="inlineStr">
        <is>
          <t>KALIX</t>
        </is>
      </c>
      <c r="I207" t="n">
        <v>23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46320</v>
      </c>
      <c r="F208" t="inlineStr">
        <is>
          <t>NORRBOTTENS LÄN</t>
        </is>
      </c>
      <c r="G208" t="inlineStr">
        <is>
          <t>KALIX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46320</v>
      </c>
      <c r="F209" t="inlineStr">
        <is>
          <t>NORRBOTTENS LÄN</t>
        </is>
      </c>
      <c r="G209" t="inlineStr">
        <is>
          <t>KALIX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46320</v>
      </c>
      <c r="F210" t="inlineStr">
        <is>
          <t>NORRBOTTENS LÄN</t>
        </is>
      </c>
      <c r="G210" t="inlineStr">
        <is>
          <t>KALIX</t>
        </is>
      </c>
      <c r="H210" t="inlineStr">
        <is>
          <t>Sveaskog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46320</v>
      </c>
      <c r="F211" t="inlineStr">
        <is>
          <t>NORRBOTTENS LÄN</t>
        </is>
      </c>
      <c r="G211" t="inlineStr">
        <is>
          <t>KALIX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46320</v>
      </c>
      <c r="F212" t="inlineStr">
        <is>
          <t>NORRBOTTENS LÄN</t>
        </is>
      </c>
      <c r="G212" t="inlineStr">
        <is>
          <t>KALIX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46320</v>
      </c>
      <c r="F213" t="inlineStr">
        <is>
          <t>NORRBOTTENS LÄN</t>
        </is>
      </c>
      <c r="G213" t="inlineStr">
        <is>
          <t>KALIX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45542</v>
      </c>
      <c r="E214" s="1" t="n">
        <v>46320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46320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46320</v>
      </c>
      <c r="F216" t="inlineStr">
        <is>
          <t>NORRBOTTENS LÄN</t>
        </is>
      </c>
      <c r="G216" t="inlineStr">
        <is>
          <t>KALIX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46320</v>
      </c>
      <c r="F217" t="inlineStr">
        <is>
          <t>NORRBOTTENS LÄN</t>
        </is>
      </c>
      <c r="G217" t="inlineStr">
        <is>
          <t>KALIX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46320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57513-2023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45243</v>
      </c>
      <c r="E219" s="1" t="n">
        <v>46320</v>
      </c>
      <c r="F219" t="inlineStr">
        <is>
          <t>NORRBOTTENS LÄN</t>
        </is>
      </c>
      <c r="G219" t="inlineStr">
        <is>
          <t>KALIX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46320</v>
      </c>
      <c r="F220" t="inlineStr">
        <is>
          <t>NORRBOTTENS LÄN</t>
        </is>
      </c>
      <c r="G220" t="inlineStr">
        <is>
          <t>KALIX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60955-2022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44907</v>
      </c>
      <c r="E221" s="1" t="n">
        <v>46320</v>
      </c>
      <c r="F221" t="inlineStr">
        <is>
          <t>NORRBOTTENS LÄN</t>
        </is>
      </c>
      <c r="G221" t="inlineStr">
        <is>
          <t>KALIX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46320</v>
      </c>
      <c r="F222" t="inlineStr">
        <is>
          <t>NORRBOTTENS LÄN</t>
        </is>
      </c>
      <c r="G222" t="inlineStr">
        <is>
          <t>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45510</v>
      </c>
      <c r="E223" s="1" t="n">
        <v>46320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46320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46320</v>
      </c>
      <c r="F225" t="inlineStr">
        <is>
          <t>NORRBOTTENS LÄN</t>
        </is>
      </c>
      <c r="G225" t="inlineStr">
        <is>
          <t>KALIX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46320</v>
      </c>
      <c r="F226" t="inlineStr">
        <is>
          <t>NORRBOTTENS LÄN</t>
        </is>
      </c>
      <c r="G226" t="inlineStr">
        <is>
          <t>KALIX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46320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46320</v>
      </c>
      <c r="F228" t="inlineStr">
        <is>
          <t>NORRBOTTENS LÄN</t>
        </is>
      </c>
      <c r="G228" t="inlineStr">
        <is>
          <t>KALIX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46320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46320</v>
      </c>
      <c r="F230" t="inlineStr">
        <is>
          <t>NORRBOTTENS LÄN</t>
        </is>
      </c>
      <c r="G230" t="inlineStr">
        <is>
          <t>KALIX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46320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45660</v>
      </c>
      <c r="E232" s="1" t="n">
        <v>46320</v>
      </c>
      <c r="F232" t="inlineStr">
        <is>
          <t>NORRBOTTENS LÄN</t>
        </is>
      </c>
      <c r="G232" t="inlineStr">
        <is>
          <t>KALIX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46320</v>
      </c>
      <c r="F233" t="inlineStr">
        <is>
          <t>NORRBOTTENS LÄN</t>
        </is>
      </c>
      <c r="G233" t="inlineStr">
        <is>
          <t>KALIX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46320</v>
      </c>
      <c r="F234" t="inlineStr">
        <is>
          <t>NORRBOTTENS LÄN</t>
        </is>
      </c>
      <c r="G234" t="inlineStr">
        <is>
          <t>KALIX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46320</v>
      </c>
      <c r="F235" t="inlineStr">
        <is>
          <t>NORRBOTTENS LÄN</t>
        </is>
      </c>
      <c r="G235" t="inlineStr">
        <is>
          <t>KALIX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46320</v>
      </c>
      <c r="F236" t="inlineStr">
        <is>
          <t>NORRBOTTENS LÄN</t>
        </is>
      </c>
      <c r="G236" t="inlineStr">
        <is>
          <t>KALIX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46320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46320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46221</v>
      </c>
      <c r="E239" s="1" t="n">
        <v>46320</v>
      </c>
      <c r="F239" t="inlineStr">
        <is>
          <t>NORRBOTTENS LÄN</t>
        </is>
      </c>
      <c r="G239" t="inlineStr">
        <is>
          <t>KALIX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46320</v>
      </c>
      <c r="F240" t="inlineStr">
        <is>
          <t>NORRBOTTENS LÄN</t>
        </is>
      </c>
      <c r="G240" t="inlineStr">
        <is>
          <t>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46320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46320</v>
      </c>
      <c r="F242" t="inlineStr">
        <is>
          <t>NORRBOTTENS LÄN</t>
        </is>
      </c>
      <c r="G242" t="inlineStr">
        <is>
          <t>KALIX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46320</v>
      </c>
      <c r="F243" t="inlineStr">
        <is>
          <t>NORRBOTTENS LÄN</t>
        </is>
      </c>
      <c r="G243" t="inlineStr">
        <is>
          <t>KALIX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46320</v>
      </c>
      <c r="F244" t="inlineStr">
        <is>
          <t>NORRBOTTENS LÄN</t>
        </is>
      </c>
      <c r="G244" t="inlineStr">
        <is>
          <t>KALIX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46225</v>
      </c>
      <c r="E245" s="1" t="n">
        <v>46320</v>
      </c>
      <c r="F245" t="inlineStr">
        <is>
          <t>NORRBOTTENS LÄN</t>
        </is>
      </c>
      <c r="G245" t="inlineStr">
        <is>
          <t>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46320</v>
      </c>
      <c r="F246" t="inlineStr">
        <is>
          <t>NORRBOTTENS LÄN</t>
        </is>
      </c>
      <c r="G246" t="inlineStr">
        <is>
          <t>KALIX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46320</v>
      </c>
      <c r="F247" t="inlineStr">
        <is>
          <t>NORRBOTTENS LÄN</t>
        </is>
      </c>
      <c r="G247" t="inlineStr">
        <is>
          <t>KALIX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21875-2025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45784</v>
      </c>
      <c r="E248" s="1" t="n">
        <v>46320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46320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46320</v>
      </c>
      <c r="F250" t="inlineStr">
        <is>
          <t>NORRBOTTENS LÄN</t>
        </is>
      </c>
      <c r="G250" t="inlineStr">
        <is>
          <t>KALIX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46233</v>
      </c>
      <c r="E251" s="1" t="n">
        <v>46320</v>
      </c>
      <c r="F251" t="inlineStr">
        <is>
          <t>NORRBOTTENS LÄN</t>
        </is>
      </c>
      <c r="G251" t="inlineStr">
        <is>
          <t>KALIX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46233</v>
      </c>
      <c r="E252" s="1" t="n">
        <v>46320</v>
      </c>
      <c r="F252" t="inlineStr">
        <is>
          <t>NORRBOTTENS LÄN</t>
        </is>
      </c>
      <c r="G252" t="inlineStr">
        <is>
          <t>KALIX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45405</v>
      </c>
      <c r="E253" s="1" t="n">
        <v>46320</v>
      </c>
      <c r="F253" t="inlineStr">
        <is>
          <t>NORRBOTTENS LÄN</t>
        </is>
      </c>
      <c r="G253" t="inlineStr">
        <is>
          <t>KALIX</t>
        </is>
      </c>
      <c r="I253" t="n">
        <v>13.5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46320</v>
      </c>
      <c r="F254" t="inlineStr">
        <is>
          <t>NORRBOTTENS LÄN</t>
        </is>
      </c>
      <c r="G254" t="inlineStr">
        <is>
          <t>KALIX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46320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20.9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46320</v>
      </c>
      <c r="F256" t="inlineStr">
        <is>
          <t>NORRBOTTENS LÄN</t>
        </is>
      </c>
      <c r="G256" t="inlineStr">
        <is>
          <t>KALIX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46320</v>
      </c>
      <c r="F257" t="inlineStr">
        <is>
          <t>NORRBOTTENS LÄN</t>
        </is>
      </c>
      <c r="G257" t="inlineStr">
        <is>
          <t>KALIX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46320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46320</v>
      </c>
      <c r="F259" t="inlineStr">
        <is>
          <t>NORRBOTTENS LÄN</t>
        </is>
      </c>
      <c r="G259" t="inlineStr">
        <is>
          <t>KALIX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46320</v>
      </c>
      <c r="F260" t="inlineStr">
        <is>
          <t>NORRBOTTENS LÄN</t>
        </is>
      </c>
      <c r="G260" t="inlineStr">
        <is>
          <t>KALIX</t>
        </is>
      </c>
      <c r="H260" t="inlineStr">
        <is>
          <t>Kommuner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46320</v>
      </c>
      <c r="F261" t="inlineStr">
        <is>
          <t>NORRBOTTENS LÄN</t>
        </is>
      </c>
      <c r="G261" t="inlineStr">
        <is>
          <t>KALIX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46320</v>
      </c>
      <c r="F262" t="inlineStr">
        <is>
          <t>NORRBOTTENS LÄN</t>
        </is>
      </c>
      <c r="G262" t="inlineStr">
        <is>
          <t>KALIX</t>
        </is>
      </c>
      <c r="H262" t="inlineStr">
        <is>
          <t>Kommuner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46279</v>
      </c>
      <c r="E263" s="1" t="n">
        <v>46320</v>
      </c>
      <c r="F263" t="inlineStr">
        <is>
          <t>NORRBOTTENS LÄN</t>
        </is>
      </c>
      <c r="G263" t="inlineStr">
        <is>
          <t>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46013</v>
      </c>
      <c r="E264" s="1" t="n">
        <v>46320</v>
      </c>
      <c r="F264" t="inlineStr">
        <is>
          <t>NORRBOTTENS LÄN</t>
        </is>
      </c>
      <c r="G264" t="inlineStr">
        <is>
          <t>KALIX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46320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45748</v>
      </c>
      <c r="E266" s="1" t="n">
        <v>46320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46320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46320</v>
      </c>
      <c r="F268" t="inlineStr">
        <is>
          <t>NORRBOTTENS LÄN</t>
        </is>
      </c>
      <c r="G268" t="inlineStr">
        <is>
          <t>KALIX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46234</v>
      </c>
      <c r="E269" s="1" t="n">
        <v>46320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46320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46320</v>
      </c>
      <c r="F271" t="inlineStr">
        <is>
          <t>NORRBOTTENS LÄN</t>
        </is>
      </c>
      <c r="G271" t="inlineStr">
        <is>
          <t>KALIX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64027-2025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46021</v>
      </c>
      <c r="E272" s="1" t="n">
        <v>46320</v>
      </c>
      <c r="F272" t="inlineStr">
        <is>
          <t>NORRBOTTENS LÄN</t>
        </is>
      </c>
      <c r="G272" t="inlineStr">
        <is>
          <t>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46320</v>
      </c>
      <c r="F273" t="inlineStr">
        <is>
          <t>NORRBOTTENS LÄN</t>
        </is>
      </c>
      <c r="G273" t="inlineStr">
        <is>
          <t>KALIX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46238</v>
      </c>
      <c r="E274" s="1" t="n">
        <v>46320</v>
      </c>
      <c r="F274" t="inlineStr">
        <is>
          <t>NORRBOTTENS LÄN</t>
        </is>
      </c>
      <c r="G274" t="inlineStr">
        <is>
          <t>KALIX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46320</v>
      </c>
      <c r="F275" t="inlineStr">
        <is>
          <t>NORRBOTTENS LÄN</t>
        </is>
      </c>
      <c r="G275" t="inlineStr">
        <is>
          <t>KALIX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54296-2024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45617</v>
      </c>
      <c r="E276" s="1" t="n">
        <v>46320</v>
      </c>
      <c r="F276" t="inlineStr">
        <is>
          <t>NORRBOTTENS LÄN</t>
        </is>
      </c>
      <c r="G276" t="inlineStr">
        <is>
          <t>KALIX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46282</v>
      </c>
      <c r="E277" s="1" t="n">
        <v>46320</v>
      </c>
      <c r="F277" t="inlineStr">
        <is>
          <t>NORRBOTTENS LÄN</t>
        </is>
      </c>
      <c r="G277" t="inlineStr">
        <is>
          <t>KALIX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46238</v>
      </c>
      <c r="E278" s="1" t="n">
        <v>46320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46238</v>
      </c>
      <c r="E279" s="1" t="n">
        <v>46320</v>
      </c>
      <c r="F279" t="inlineStr">
        <is>
          <t>NORRBOTTENS LÄN</t>
        </is>
      </c>
      <c r="G279" t="inlineStr">
        <is>
          <t>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46320</v>
      </c>
      <c r="F280" t="inlineStr">
        <is>
          <t>NORRBOTTENS LÄN</t>
        </is>
      </c>
      <c r="G280" t="inlineStr">
        <is>
          <t>KALIX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46320</v>
      </c>
      <c r="F281" t="inlineStr">
        <is>
          <t>NORRBOTTENS LÄN</t>
        </is>
      </c>
      <c r="G281" t="inlineStr">
        <is>
          <t>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46320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46320</v>
      </c>
      <c r="F283" t="inlineStr">
        <is>
          <t>NORRBOTTENS LÄN</t>
        </is>
      </c>
      <c r="G283" t="inlineStr">
        <is>
          <t>KALIX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46320</v>
      </c>
      <c r="F284" t="inlineStr">
        <is>
          <t>NORRBOTTENS LÄN</t>
        </is>
      </c>
      <c r="G284" t="inlineStr">
        <is>
          <t>KALIX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46320</v>
      </c>
      <c r="F285" t="inlineStr">
        <is>
          <t>NORRBOTTENS LÄN</t>
        </is>
      </c>
      <c r="G285" t="inlineStr">
        <is>
          <t>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46320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46286</v>
      </c>
      <c r="E287" s="1" t="n">
        <v>46320</v>
      </c>
      <c r="F287" t="inlineStr">
        <is>
          <t>NORRBOTTENS LÄN</t>
        </is>
      </c>
      <c r="G287" t="inlineStr">
        <is>
          <t>KALIX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46320</v>
      </c>
      <c r="F288" t="inlineStr">
        <is>
          <t>NORRBOTTENS LÄN</t>
        </is>
      </c>
      <c r="G288" t="inlineStr">
        <is>
          <t>KALIX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46320</v>
      </c>
      <c r="F289" t="inlineStr">
        <is>
          <t>NORRBOTTENS LÄN</t>
        </is>
      </c>
      <c r="G289" t="inlineStr">
        <is>
          <t>KALIX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46320</v>
      </c>
      <c r="F290" t="inlineStr">
        <is>
          <t>NORRBOTTENS LÄN</t>
        </is>
      </c>
      <c r="G290" t="inlineStr">
        <is>
          <t>KALIX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46320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46286</v>
      </c>
      <c r="E292" s="1" t="n">
        <v>46320</v>
      </c>
      <c r="F292" t="inlineStr">
        <is>
          <t>NORRBOTTENS LÄN</t>
        </is>
      </c>
      <c r="G292" t="inlineStr">
        <is>
          <t>KALIX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46286</v>
      </c>
      <c r="E293" s="1" t="n">
        <v>46320</v>
      </c>
      <c r="F293" t="inlineStr">
        <is>
          <t>NORRBOTTENS LÄN</t>
        </is>
      </c>
      <c r="G293" t="inlineStr">
        <is>
          <t>KALIX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46320</v>
      </c>
      <c r="F294" t="inlineStr">
        <is>
          <t>NORRBOTTENS LÄN</t>
        </is>
      </c>
      <c r="G294" t="inlineStr">
        <is>
          <t>KALIX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45419</v>
      </c>
      <c r="E295" s="1" t="n">
        <v>46320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46320</v>
      </c>
      <c r="F296" t="inlineStr">
        <is>
          <t>NORRBOTTENS LÄN</t>
        </is>
      </c>
      <c r="G296" t="inlineStr">
        <is>
          <t>KALIX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46320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46286</v>
      </c>
      <c r="E298" s="1" t="n">
        <v>46320</v>
      </c>
      <c r="F298" t="inlineStr">
        <is>
          <t>NORRBOTTENS LÄN</t>
        </is>
      </c>
      <c r="G298" t="inlineStr">
        <is>
          <t>KALIX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46320</v>
      </c>
      <c r="F299" t="inlineStr">
        <is>
          <t>NORRBOTTENS LÄN</t>
        </is>
      </c>
      <c r="G299" t="inlineStr">
        <is>
          <t>KALIX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46320</v>
      </c>
      <c r="F300" t="inlineStr">
        <is>
          <t>NORRBOTTENS LÄN</t>
        </is>
      </c>
      <c r="G300" t="inlineStr">
        <is>
          <t>KALIX</t>
        </is>
      </c>
      <c r="I300" t="n">
        <v>11.9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46320</v>
      </c>
      <c r="F301" t="inlineStr">
        <is>
          <t>NORRBOTTENS LÄN</t>
        </is>
      </c>
      <c r="G301" t="inlineStr">
        <is>
          <t>KALIX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46320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46320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46320</v>
      </c>
      <c r="F304" t="inlineStr">
        <is>
          <t>NORRBOTTENS LÄN</t>
        </is>
      </c>
      <c r="G304" t="inlineStr">
        <is>
          <t>KALIX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46320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46320</v>
      </c>
      <c r="F306" t="inlineStr">
        <is>
          <t>NORRBOTTENS LÄN</t>
        </is>
      </c>
      <c r="G306" t="inlineStr">
        <is>
          <t>KALIX</t>
        </is>
      </c>
      <c r="I306" t="n">
        <v>12.3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46320</v>
      </c>
      <c r="F307" t="inlineStr">
        <is>
          <t>NORRBOTTENS LÄN</t>
        </is>
      </c>
      <c r="G307" t="inlineStr">
        <is>
          <t>KALIX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46320</v>
      </c>
      <c r="F308" t="inlineStr">
        <is>
          <t>NORRBOTTENS LÄN</t>
        </is>
      </c>
      <c r="G308" t="inlineStr">
        <is>
          <t>KALIX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46320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46320</v>
      </c>
      <c r="F310" t="inlineStr">
        <is>
          <t>NORRBOTTENS LÄN</t>
        </is>
      </c>
      <c r="G310" t="inlineStr">
        <is>
          <t>KALIX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46320</v>
      </c>
      <c r="F311" t="inlineStr">
        <is>
          <t>NORRBOTTENS LÄN</t>
        </is>
      </c>
      <c r="G311" t="inlineStr">
        <is>
          <t>KALIX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45363</v>
      </c>
      <c r="E312" s="1" t="n">
        <v>46320</v>
      </c>
      <c r="F312" t="inlineStr">
        <is>
          <t>NORRBOTTENS LÄN</t>
        </is>
      </c>
      <c r="G312" t="inlineStr">
        <is>
          <t>KALIX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46320</v>
      </c>
      <c r="F313" t="inlineStr">
        <is>
          <t>NORRBOTTENS LÄN</t>
        </is>
      </c>
      <c r="G313" t="inlineStr">
        <is>
          <t>KALIX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46320</v>
      </c>
      <c r="F314" t="inlineStr">
        <is>
          <t>NORRBOTTENS LÄN</t>
        </is>
      </c>
      <c r="G314" t="inlineStr">
        <is>
          <t>KALIX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46320</v>
      </c>
      <c r="F315" t="inlineStr">
        <is>
          <t>NORRBOTTENS LÄN</t>
        </is>
      </c>
      <c r="G315" t="inlineStr">
        <is>
          <t>KALIX</t>
        </is>
      </c>
      <c r="I315" t="n">
        <v>19.3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46289</v>
      </c>
      <c r="E316" s="1" t="n">
        <v>46320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46320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46320</v>
      </c>
      <c r="F318" t="inlineStr">
        <is>
          <t>NORRBOTTENS LÄN</t>
        </is>
      </c>
      <c r="G318" t="inlineStr">
        <is>
          <t>KALIX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46320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46320</v>
      </c>
      <c r="F320" t="inlineStr">
        <is>
          <t>NORRBOTTENS LÄN</t>
        </is>
      </c>
      <c r="G320" t="inlineStr">
        <is>
          <t>KALIX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46320</v>
      </c>
      <c r="F321" t="inlineStr">
        <is>
          <t>NORRBOTTENS LÄN</t>
        </is>
      </c>
      <c r="G321" t="inlineStr">
        <is>
          <t>KALIX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46320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46320</v>
      </c>
      <c r="F323" t="inlineStr">
        <is>
          <t>NORRBOTTENS LÄN</t>
        </is>
      </c>
      <c r="G323" t="inlineStr">
        <is>
          <t>KALIX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46320</v>
      </c>
      <c r="F324" t="inlineStr">
        <is>
          <t>NORRBOTTENS LÄN</t>
        </is>
      </c>
      <c r="G324" t="inlineStr">
        <is>
          <t>KALIX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46320</v>
      </c>
      <c r="F325" t="inlineStr">
        <is>
          <t>NORRBOTTENS LÄN</t>
        </is>
      </c>
      <c r="G325" t="inlineStr">
        <is>
          <t>KALIX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46320</v>
      </c>
      <c r="F326" t="inlineStr">
        <is>
          <t>NORRBOTTENS LÄN</t>
        </is>
      </c>
      <c r="G326" t="inlineStr">
        <is>
          <t>KALIX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46252</v>
      </c>
      <c r="E327" s="1" t="n">
        <v>46320</v>
      </c>
      <c r="F327" t="inlineStr">
        <is>
          <t>NORRBOTTENS LÄN</t>
        </is>
      </c>
      <c r="G327" t="inlineStr">
        <is>
          <t>KALIX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46320</v>
      </c>
      <c r="F328" t="inlineStr">
        <is>
          <t>NORRBOTTENS LÄN</t>
        </is>
      </c>
      <c r="G328" t="inlineStr">
        <is>
          <t>KALIX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46320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46320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46320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46320</v>
      </c>
      <c r="F332" t="inlineStr">
        <is>
          <t>NORRBOTTENS LÄN</t>
        </is>
      </c>
      <c r="G332" t="inlineStr">
        <is>
          <t>KALIX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45816</v>
      </c>
      <c r="E333" s="1" t="n">
        <v>46320</v>
      </c>
      <c r="F333" t="inlineStr">
        <is>
          <t>NORRBOTTENS LÄN</t>
        </is>
      </c>
      <c r="G333" t="inlineStr">
        <is>
          <t>KALIX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46320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45815</v>
      </c>
      <c r="E335" s="1" t="n">
        <v>46320</v>
      </c>
      <c r="F335" t="inlineStr">
        <is>
          <t>NORRBOTTENS LÄN</t>
        </is>
      </c>
      <c r="G335" t="inlineStr">
        <is>
          <t>KALIX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45815</v>
      </c>
      <c r="E336" s="1" t="n">
        <v>46320</v>
      </c>
      <c r="F336" t="inlineStr">
        <is>
          <t>NORRBOTTENS LÄN</t>
        </is>
      </c>
      <c r="G336" t="inlineStr">
        <is>
          <t>KALIX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45816</v>
      </c>
      <c r="E337" s="1" t="n">
        <v>46320</v>
      </c>
      <c r="F337" t="inlineStr">
        <is>
          <t>NORRBOTTENS LÄN</t>
        </is>
      </c>
      <c r="G337" t="inlineStr">
        <is>
          <t>KALIX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45816</v>
      </c>
      <c r="E338" s="1" t="n">
        <v>46320</v>
      </c>
      <c r="F338" t="inlineStr">
        <is>
          <t>NORRBOTTENS LÄN</t>
        </is>
      </c>
      <c r="G338" t="inlineStr">
        <is>
          <t>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46320</v>
      </c>
      <c r="F339" t="inlineStr">
        <is>
          <t>NORRBOTTENS LÄN</t>
        </is>
      </c>
      <c r="G339" t="inlineStr">
        <is>
          <t>KALIX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46248</v>
      </c>
      <c r="E340" s="1" t="n">
        <v>46320</v>
      </c>
      <c r="F340" t="inlineStr">
        <is>
          <t>NORRBOTTENS LÄN</t>
        </is>
      </c>
      <c r="G340" t="inlineStr">
        <is>
          <t>KALIX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45815</v>
      </c>
      <c r="E341" s="1" t="n">
        <v>46320</v>
      </c>
      <c r="F341" t="inlineStr">
        <is>
          <t>NORRBOTTENS LÄN</t>
        </is>
      </c>
      <c r="G341" t="inlineStr">
        <is>
          <t>KALIX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45815</v>
      </c>
      <c r="E342" s="1" t="n">
        <v>46320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46320</v>
      </c>
      <c r="F343" t="inlineStr">
        <is>
          <t>NORRBOTTENS LÄN</t>
        </is>
      </c>
      <c r="G343" t="inlineStr">
        <is>
          <t>KALIX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45816</v>
      </c>
      <c r="E344" s="1" t="n">
        <v>46320</v>
      </c>
      <c r="F344" t="inlineStr">
        <is>
          <t>NORRBOTTENS LÄN</t>
        </is>
      </c>
      <c r="G344" t="inlineStr">
        <is>
          <t>KALIX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45816</v>
      </c>
      <c r="E345" s="1" t="n">
        <v>46320</v>
      </c>
      <c r="F345" t="inlineStr">
        <is>
          <t>NORRBOTTENS LÄN</t>
        </is>
      </c>
      <c r="G345" t="inlineStr">
        <is>
          <t>KALIX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46320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46252</v>
      </c>
      <c r="E347" s="1" t="n">
        <v>46320</v>
      </c>
      <c r="F347" t="inlineStr">
        <is>
          <t>NORRBOTTENS LÄN</t>
        </is>
      </c>
      <c r="G347" t="inlineStr">
        <is>
          <t>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46246</v>
      </c>
      <c r="E348" s="1" t="n">
        <v>46320</v>
      </c>
      <c r="F348" t="inlineStr">
        <is>
          <t>NORRBOTTENS LÄN</t>
        </is>
      </c>
      <c r="G348" t="inlineStr">
        <is>
          <t>KALIX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45815</v>
      </c>
      <c r="E349" s="1" t="n">
        <v>46320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45816</v>
      </c>
      <c r="E350" s="1" t="n">
        <v>46320</v>
      </c>
      <c r="F350" t="inlineStr">
        <is>
          <t>NORRBOTTENS LÄN</t>
        </is>
      </c>
      <c r="G350" t="inlineStr">
        <is>
          <t>KALIX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45816</v>
      </c>
      <c r="E351" s="1" t="n">
        <v>46320</v>
      </c>
      <c r="F351" t="inlineStr">
        <is>
          <t>NORRBOTTENS LÄN</t>
        </is>
      </c>
      <c r="G351" t="inlineStr">
        <is>
          <t>KALIX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46252</v>
      </c>
      <c r="E352" s="1" t="n">
        <v>46320</v>
      </c>
      <c r="F352" t="inlineStr">
        <is>
          <t>NORRBOTTENS LÄN</t>
        </is>
      </c>
      <c r="G352" t="inlineStr">
        <is>
          <t>KALIX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45816</v>
      </c>
      <c r="E353" s="1" t="n">
        <v>46320</v>
      </c>
      <c r="F353" t="inlineStr">
        <is>
          <t>NORRBOTTENS LÄN</t>
        </is>
      </c>
      <c r="G353" t="inlineStr">
        <is>
          <t>KALIX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45816</v>
      </c>
      <c r="E354" s="1" t="n">
        <v>46320</v>
      </c>
      <c r="F354" t="inlineStr">
        <is>
          <t>NORRBOTTENS LÄN</t>
        </is>
      </c>
      <c r="G354" t="inlineStr">
        <is>
          <t>KALIX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45816</v>
      </c>
      <c r="E355" s="1" t="n">
        <v>46320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45816</v>
      </c>
      <c r="E356" s="1" t="n">
        <v>46320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45816</v>
      </c>
      <c r="E357" s="1" t="n">
        <v>46320</v>
      </c>
      <c r="F357" t="inlineStr">
        <is>
          <t>NORRBOTTENS LÄN</t>
        </is>
      </c>
      <c r="G357" t="inlineStr">
        <is>
          <t>KALIX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45816</v>
      </c>
      <c r="E358" s="1" t="n">
        <v>46320</v>
      </c>
      <c r="F358" t="inlineStr">
        <is>
          <t>NORRBOTTENS LÄN</t>
        </is>
      </c>
      <c r="G358" t="inlineStr">
        <is>
          <t>KALIX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45816</v>
      </c>
      <c r="E359" s="1" t="n">
        <v>46320</v>
      </c>
      <c r="F359" t="inlineStr">
        <is>
          <t>NORRBOTTENS LÄN</t>
        </is>
      </c>
      <c r="G359" t="inlineStr">
        <is>
          <t>KALIX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45816</v>
      </c>
      <c r="E360" s="1" t="n">
        <v>46320</v>
      </c>
      <c r="F360" t="inlineStr">
        <is>
          <t>NORRBOTTENS LÄN</t>
        </is>
      </c>
      <c r="G360" t="inlineStr">
        <is>
          <t>KALIX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45816</v>
      </c>
      <c r="E361" s="1" t="n">
        <v>46320</v>
      </c>
      <c r="F361" t="inlineStr">
        <is>
          <t>NORRBOTTENS LÄN</t>
        </is>
      </c>
      <c r="G361" t="inlineStr">
        <is>
          <t>KALIX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46320</v>
      </c>
      <c r="F362" t="inlineStr">
        <is>
          <t>NORRBOTTENS LÄN</t>
        </is>
      </c>
      <c r="G362" t="inlineStr">
        <is>
          <t>KALIX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45816</v>
      </c>
      <c r="E363" s="1" t="n">
        <v>46320</v>
      </c>
      <c r="F363" t="inlineStr">
        <is>
          <t>NORRBOTTENS LÄN</t>
        </is>
      </c>
      <c r="G363" t="inlineStr">
        <is>
          <t>KALIX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45816</v>
      </c>
      <c r="E364" s="1" t="n">
        <v>46320</v>
      </c>
      <c r="F364" t="inlineStr">
        <is>
          <t>NORRBOTTENS LÄN</t>
        </is>
      </c>
      <c r="G364" t="inlineStr">
        <is>
          <t>KALIX</t>
        </is>
      </c>
      <c r="I364" t="n">
        <v>18.4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46252</v>
      </c>
      <c r="E365" s="1" t="n">
        <v>46320</v>
      </c>
      <c r="F365" t="inlineStr">
        <is>
          <t>NORRBOTTENS LÄN</t>
        </is>
      </c>
      <c r="G365" t="inlineStr">
        <is>
          <t>KALIX</t>
        </is>
      </c>
      <c r="I365" t="n">
        <v>14.5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45820</v>
      </c>
      <c r="E366" s="1" t="n">
        <v>46320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45820</v>
      </c>
      <c r="E367" s="1" t="n">
        <v>46320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46073</v>
      </c>
      <c r="E368" s="1" t="n">
        <v>46320</v>
      </c>
      <c r="F368" t="inlineStr">
        <is>
          <t>NORRBOTTENS LÄN</t>
        </is>
      </c>
      <c r="G368" t="inlineStr">
        <is>
          <t>KALIX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46320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10547-2026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46077</v>
      </c>
      <c r="E370" s="1" t="n">
        <v>46320</v>
      </c>
      <c r="F370" t="inlineStr">
        <is>
          <t>NORRBOTTENS LÄN</t>
        </is>
      </c>
      <c r="G370" t="inlineStr">
        <is>
          <t>KALIX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46296</v>
      </c>
      <c r="E371" s="1" t="n">
        <v>46320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46320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46320</v>
      </c>
      <c r="F373" t="inlineStr">
        <is>
          <t>NORRBOTTENS LÄN</t>
        </is>
      </c>
      <c r="G373" t="inlineStr">
        <is>
          <t>KALIX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46320</v>
      </c>
      <c r="F374" t="inlineStr">
        <is>
          <t>NORRBOTTENS LÄN</t>
        </is>
      </c>
      <c r="G374" t="inlineStr">
        <is>
          <t>KALIX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46320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46320</v>
      </c>
      <c r="F376" t="inlineStr">
        <is>
          <t>NORRBOTTENS LÄN</t>
        </is>
      </c>
      <c r="G376" t="inlineStr">
        <is>
          <t>KALIX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46320</v>
      </c>
      <c r="F377" t="inlineStr">
        <is>
          <t>NORRBOTTENS LÄN</t>
        </is>
      </c>
      <c r="G377" t="inlineStr">
        <is>
          <t>KALIX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46320</v>
      </c>
      <c r="F378" t="inlineStr">
        <is>
          <t>NORRBOTTENS LÄN</t>
        </is>
      </c>
      <c r="G378" t="inlineStr">
        <is>
          <t>KALIX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46320</v>
      </c>
      <c r="F379" t="inlineStr">
        <is>
          <t>NORRBOTTENS LÄN</t>
        </is>
      </c>
      <c r="G379" t="inlineStr">
        <is>
          <t>KALIX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46320</v>
      </c>
      <c r="F380" t="inlineStr">
        <is>
          <t>NORRBOTTENS LÄN</t>
        </is>
      </c>
      <c r="G380" t="inlineStr">
        <is>
          <t>KALIX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46320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46320</v>
      </c>
      <c r="F382" t="inlineStr">
        <is>
          <t>NORRBOTTENS LÄN</t>
        </is>
      </c>
      <c r="G382" t="inlineStr">
        <is>
          <t>KALIX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46320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46320</v>
      </c>
      <c r="F384" t="inlineStr">
        <is>
          <t>NORRBOTTENS LÄN</t>
        </is>
      </c>
      <c r="G384" t="inlineStr">
        <is>
          <t>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46320</v>
      </c>
      <c r="F385" t="inlineStr">
        <is>
          <t>NORRBOTTENS LÄN</t>
        </is>
      </c>
      <c r="G385" t="inlineStr">
        <is>
          <t>KALIX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46320</v>
      </c>
      <c r="F386" t="inlineStr">
        <is>
          <t>NORRBOTTENS LÄN</t>
        </is>
      </c>
      <c r="G386" t="inlineStr">
        <is>
          <t>KALIX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46320</v>
      </c>
      <c r="F387" t="inlineStr">
        <is>
          <t>NORRBOTTENS LÄN</t>
        </is>
      </c>
      <c r="G387" t="inlineStr">
        <is>
          <t>KALIX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46320</v>
      </c>
      <c r="F388" t="inlineStr">
        <is>
          <t>NORRBOTTENS LÄN</t>
        </is>
      </c>
      <c r="G388" t="inlineStr">
        <is>
          <t>KALIX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46320</v>
      </c>
      <c r="F389" t="inlineStr">
        <is>
          <t>NORRBOTTENS LÄN</t>
        </is>
      </c>
      <c r="G389" t="inlineStr">
        <is>
          <t>KALIX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46320</v>
      </c>
      <c r="F390" t="inlineStr">
        <is>
          <t>NORRBOTTENS LÄN</t>
        </is>
      </c>
      <c r="G390" t="inlineStr">
        <is>
          <t>KALIX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46320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46320</v>
      </c>
      <c r="F392" t="inlineStr">
        <is>
          <t>NORRBOTTENS LÄN</t>
        </is>
      </c>
      <c r="G392" t="inlineStr">
        <is>
          <t>KALIX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33619-2025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46320</v>
      </c>
      <c r="F393" t="inlineStr">
        <is>
          <t>NORRBOTTENS LÄN</t>
        </is>
      </c>
      <c r="G393" t="inlineStr">
        <is>
          <t>KALIX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46320</v>
      </c>
      <c r="F394" t="inlineStr">
        <is>
          <t>NORRBOTTENS LÄN</t>
        </is>
      </c>
      <c r="G394" t="inlineStr">
        <is>
          <t>KALIX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46320</v>
      </c>
      <c r="F395" t="inlineStr">
        <is>
          <t>NORRBOTTENS LÄN</t>
        </is>
      </c>
      <c r="G395" t="inlineStr">
        <is>
          <t>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46320</v>
      </c>
      <c r="F396" t="inlineStr">
        <is>
          <t>NORRBOTTENS LÄN</t>
        </is>
      </c>
      <c r="G396" t="inlineStr">
        <is>
          <t>KALIX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45842</v>
      </c>
      <c r="E397" s="1" t="n">
        <v>46320</v>
      </c>
      <c r="F397" t="inlineStr">
        <is>
          <t>NORRBOTTENS LÄN</t>
        </is>
      </c>
      <c r="G397" t="inlineStr">
        <is>
          <t>KALIX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44776</v>
      </c>
      <c r="E398" s="1" t="n">
        <v>46320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66739-2021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44520</v>
      </c>
      <c r="E399" s="1" t="n">
        <v>46320</v>
      </c>
      <c r="F399" t="inlineStr">
        <is>
          <t>NORRBOTTENS LÄN</t>
        </is>
      </c>
      <c r="G399" t="inlineStr">
        <is>
          <t>KALIX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46320</v>
      </c>
      <c r="F400" t="inlineStr">
        <is>
          <t>NORRBOTTENS LÄN</t>
        </is>
      </c>
      <c r="G400" t="inlineStr">
        <is>
          <t>KALIX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46320</v>
      </c>
      <c r="F401" t="inlineStr">
        <is>
          <t>NORRBOTTENS LÄN</t>
        </is>
      </c>
      <c r="G401" t="inlineStr">
        <is>
          <t>KALIX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46320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46320</v>
      </c>
      <c r="F403" t="inlineStr">
        <is>
          <t>NORRBOTTENS LÄN</t>
        </is>
      </c>
      <c r="G403" t="inlineStr">
        <is>
          <t>KALIX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46320</v>
      </c>
      <c r="F404" t="inlineStr">
        <is>
          <t>NORRBOTTENS LÄN</t>
        </is>
      </c>
      <c r="G404" t="inlineStr">
        <is>
          <t>KALIX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46320</v>
      </c>
      <c r="F405" t="inlineStr">
        <is>
          <t>NORRBOTTENS LÄN</t>
        </is>
      </c>
      <c r="G405" t="inlineStr">
        <is>
          <t>KALIX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45851</v>
      </c>
      <c r="E406" s="1" t="n">
        <v>46320</v>
      </c>
      <c r="F406" t="inlineStr">
        <is>
          <t>NORRBOTTENS LÄN</t>
        </is>
      </c>
      <c r="G406" t="inlineStr">
        <is>
          <t>KALIX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46320</v>
      </c>
      <c r="F407" t="inlineStr">
        <is>
          <t>NORRBOTTENS LÄN</t>
        </is>
      </c>
      <c r="G407" t="inlineStr">
        <is>
          <t>KALIX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46320</v>
      </c>
      <c r="F408" t="inlineStr">
        <is>
          <t>NORRBOTTENS LÄN</t>
        </is>
      </c>
      <c r="G408" t="inlineStr">
        <is>
          <t>KALIX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46320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46320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46320</v>
      </c>
      <c r="F411" t="inlineStr">
        <is>
          <t>NORRBOTTENS LÄN</t>
        </is>
      </c>
      <c r="G411" t="inlineStr">
        <is>
          <t>KALIX</t>
        </is>
      </c>
      <c r="H411" t="inlineStr">
        <is>
          <t>Sveaskog</t>
        </is>
      </c>
      <c r="I411" t="n">
        <v>14.8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45481</v>
      </c>
      <c r="E412" s="1" t="n">
        <v>46320</v>
      </c>
      <c r="F412" t="inlineStr">
        <is>
          <t>NORRBOTTENS LÄN</t>
        </is>
      </c>
      <c r="G412" t="inlineStr">
        <is>
          <t>KALIX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45867</v>
      </c>
      <c r="E413" s="1" t="n">
        <v>46320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46320</v>
      </c>
      <c r="F414" t="inlineStr">
        <is>
          <t>NORRBOTTENS LÄN</t>
        </is>
      </c>
      <c r="G414" t="inlineStr">
        <is>
          <t>KALIX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45859</v>
      </c>
      <c r="E415" s="1" t="n">
        <v>46320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46320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46320</v>
      </c>
      <c r="F417" t="inlineStr">
        <is>
          <t>NORRBOTTENS LÄN</t>
        </is>
      </c>
      <c r="G417" t="inlineStr">
        <is>
          <t>KALIX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46320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46320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68438-2021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44529</v>
      </c>
      <c r="E420" s="1" t="n">
        <v>46320</v>
      </c>
      <c r="F420" t="inlineStr">
        <is>
          <t>NORRBOTTENS LÄN</t>
        </is>
      </c>
      <c r="G420" t="inlineStr">
        <is>
          <t>KALIX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44874</v>
      </c>
      <c r="E421" s="1" t="n">
        <v>46320</v>
      </c>
      <c r="F421" t="inlineStr">
        <is>
          <t>NORRBOTTENS LÄN</t>
        </is>
      </c>
      <c r="G421" t="inlineStr">
        <is>
          <t>KALIX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45054</v>
      </c>
      <c r="E422" s="1" t="n">
        <v>46320</v>
      </c>
      <c r="F422" t="inlineStr">
        <is>
          <t>NORRBOTTENS LÄN</t>
        </is>
      </c>
      <c r="G422" t="inlineStr">
        <is>
          <t>KALIX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62444-2022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44924</v>
      </c>
      <c r="E423" s="1" t="n">
        <v>46320</v>
      </c>
      <c r="F423" t="inlineStr">
        <is>
          <t>NORRBOTTENS LÄN</t>
        </is>
      </c>
      <c r="G423" t="inlineStr">
        <is>
          <t>KALIX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44894</v>
      </c>
      <c r="E424" s="1" t="n">
        <v>46320</v>
      </c>
      <c r="F424" t="inlineStr">
        <is>
          <t>NORRBOTTENS LÄN</t>
        </is>
      </c>
      <c r="G424" t="inlineStr">
        <is>
          <t>KALIX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46320</v>
      </c>
      <c r="F425" t="inlineStr">
        <is>
          <t>NORRBOTTENS LÄN</t>
        </is>
      </c>
      <c r="G425" t="inlineStr">
        <is>
          <t>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46310</v>
      </c>
      <c r="E426" s="1" t="n">
        <v>46320</v>
      </c>
      <c r="F426" t="inlineStr">
        <is>
          <t>NORRBOTTENS LÄN</t>
        </is>
      </c>
      <c r="G426" t="inlineStr">
        <is>
          <t>KALIX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46310</v>
      </c>
      <c r="E427" s="1" t="n">
        <v>46320</v>
      </c>
      <c r="F427" t="inlineStr">
        <is>
          <t>NORRBOTTENS LÄN</t>
        </is>
      </c>
      <c r="G427" t="inlineStr">
        <is>
          <t>KALIX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46320</v>
      </c>
      <c r="F428" t="inlineStr">
        <is>
          <t>NORRBOTTENS LÄN</t>
        </is>
      </c>
      <c r="G428" t="inlineStr">
        <is>
          <t>KALIX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46320</v>
      </c>
      <c r="F429" t="inlineStr">
        <is>
          <t>NORRBOTTENS LÄN</t>
        </is>
      </c>
      <c r="G429" t="inlineStr">
        <is>
          <t>KALIX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46310</v>
      </c>
      <c r="E430" s="1" t="n">
        <v>46320</v>
      </c>
      <c r="F430" t="inlineStr">
        <is>
          <t>NORRBOTTENS LÄN</t>
        </is>
      </c>
      <c r="G430" t="inlineStr">
        <is>
          <t>KALIX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46320</v>
      </c>
      <c r="F431" t="inlineStr">
        <is>
          <t>NORRBOTTENS LÄN</t>
        </is>
      </c>
      <c r="G431" t="inlineStr">
        <is>
          <t>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46310</v>
      </c>
      <c r="E432" s="1" t="n">
        <v>46320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46320</v>
      </c>
      <c r="F433" t="inlineStr">
        <is>
          <t>NORRBOTTENS LÄN</t>
        </is>
      </c>
      <c r="G433" t="inlineStr">
        <is>
          <t>KALIX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46320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46320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46267</v>
      </c>
      <c r="E436" s="1" t="n">
        <v>46320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46320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46320</v>
      </c>
      <c r="F438" t="inlineStr">
        <is>
          <t>NORRBOTTENS LÄN</t>
        </is>
      </c>
      <c r="G438" t="inlineStr">
        <is>
          <t>KALIX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22480-2024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45446</v>
      </c>
      <c r="E439" s="1" t="n">
        <v>46320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46320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46320</v>
      </c>
      <c r="F441" t="inlineStr">
        <is>
          <t>NORRBOTTENS LÄN</t>
        </is>
      </c>
      <c r="G441" t="inlineStr">
        <is>
          <t>KALIX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46320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46312</v>
      </c>
      <c r="E443" s="1" t="n">
        <v>46320</v>
      </c>
      <c r="F443" t="inlineStr">
        <is>
          <t>NORRBOTTENS LÄN</t>
        </is>
      </c>
      <c r="G443" t="inlineStr">
        <is>
          <t>KALIX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46312</v>
      </c>
      <c r="E444" s="1" t="n">
        <v>46320</v>
      </c>
      <c r="F444" t="inlineStr">
        <is>
          <t>NORRBOTTENS LÄN</t>
        </is>
      </c>
      <c r="G444" t="inlineStr">
        <is>
          <t>KALIX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46312</v>
      </c>
      <c r="E445" s="1" t="n">
        <v>46320</v>
      </c>
      <c r="F445" t="inlineStr">
        <is>
          <t>NORRBOTTENS LÄN</t>
        </is>
      </c>
      <c r="G445" t="inlineStr">
        <is>
          <t>KALIX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59018-2022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46320</v>
      </c>
      <c r="F446" t="inlineStr">
        <is>
          <t>NORRBOTTENS LÄN</t>
        </is>
      </c>
      <c r="G446" t="inlineStr">
        <is>
          <t>KALIX</t>
        </is>
      </c>
      <c r="I446" t="n">
        <v>17.8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46320</v>
      </c>
      <c r="F447" t="inlineStr">
        <is>
          <t>NORRBOTTENS LÄN</t>
        </is>
      </c>
      <c r="G447" t="inlineStr">
        <is>
          <t>KALIX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44581</v>
      </c>
      <c r="E448" s="1" t="n">
        <v>46320</v>
      </c>
      <c r="F448" t="inlineStr">
        <is>
          <t>NORRBOTTENS LÄN</t>
        </is>
      </c>
      <c r="G448" t="inlineStr">
        <is>
          <t>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46320</v>
      </c>
      <c r="F449" t="inlineStr">
        <is>
          <t>NORRBOTTENS LÄN</t>
        </is>
      </c>
      <c r="G449" t="inlineStr">
        <is>
          <t>KALIX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46320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45583</v>
      </c>
      <c r="E451" s="1" t="n">
        <v>46320</v>
      </c>
      <c r="F451" t="inlineStr">
        <is>
          <t>NORRBOTTENS LÄN</t>
        </is>
      </c>
      <c r="G451" t="inlineStr">
        <is>
          <t>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46269</v>
      </c>
      <c r="E452" s="1" t="n">
        <v>46320</v>
      </c>
      <c r="F452" t="inlineStr">
        <is>
          <t>NORRBOTTENS LÄN</t>
        </is>
      </c>
      <c r="G452" t="inlineStr">
        <is>
          <t>KALIX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46320</v>
      </c>
      <c r="F453" t="inlineStr">
        <is>
          <t>NORRBOTTENS LÄN</t>
        </is>
      </c>
      <c r="G453" t="inlineStr">
        <is>
          <t>KALIX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46320</v>
      </c>
      <c r="F454" t="inlineStr">
        <is>
          <t>NORRBOTTENS LÄN</t>
        </is>
      </c>
      <c r="G454" t="inlineStr">
        <is>
          <t>KALIX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7236-2022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44603</v>
      </c>
      <c r="E455" s="1" t="n">
        <v>46320</v>
      </c>
      <c r="F455" t="inlineStr">
        <is>
          <t>NORRBOTTENS LÄN</t>
        </is>
      </c>
      <c r="G455" t="inlineStr">
        <is>
          <t>KALIX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61945-2025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46320</v>
      </c>
      <c r="F456" t="inlineStr">
        <is>
          <t>NORRBOTTENS LÄN</t>
        </is>
      </c>
      <c r="G456" t="inlineStr">
        <is>
          <t>KALIX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46070</v>
      </c>
      <c r="E457" s="1" t="n">
        <v>46320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46310</v>
      </c>
      <c r="E458" s="1" t="n">
        <v>46320</v>
      </c>
      <c r="F458" t="inlineStr">
        <is>
          <t>NORRBOTTENS LÄN</t>
        </is>
      </c>
      <c r="G458" t="inlineStr">
        <is>
          <t>KALIX</t>
        </is>
      </c>
      <c r="I458" t="n">
        <v>26.7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43440-2026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46314</v>
      </c>
      <c r="E459" s="1" t="n">
        <v>46320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46320</v>
      </c>
      <c r="F460" t="inlineStr">
        <is>
          <t>NORRBOTTENS LÄN</t>
        </is>
      </c>
      <c r="G460" t="inlineStr">
        <is>
          <t>KALIX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46320</v>
      </c>
      <c r="F461" t="inlineStr">
        <is>
          <t>NORRBOTTENS LÄN</t>
        </is>
      </c>
      <c r="G461" t="inlineStr">
        <is>
          <t>KALIX</t>
        </is>
      </c>
      <c r="I461" t="n">
        <v>16.2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45881</v>
      </c>
      <c r="E462" s="1" t="n">
        <v>46320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46320</v>
      </c>
      <c r="F463" t="inlineStr">
        <is>
          <t>NORRBOTTENS LÄN</t>
        </is>
      </c>
      <c r="G463" t="inlineStr">
        <is>
          <t>KALIX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45553</v>
      </c>
      <c r="E464" s="1" t="n">
        <v>46320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46320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46320</v>
      </c>
      <c r="F466" t="inlineStr">
        <is>
          <t>NORRBOTTENS LÄN</t>
        </is>
      </c>
      <c r="G466" t="inlineStr">
        <is>
          <t>KALIX</t>
        </is>
      </c>
      <c r="I466" t="n">
        <v>16.4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46320</v>
      </c>
      <c r="F467" t="inlineStr">
        <is>
          <t>NORRBOTTENS LÄN</t>
        </is>
      </c>
      <c r="G467" t="inlineStr">
        <is>
          <t>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46320</v>
      </c>
      <c r="F468" t="inlineStr">
        <is>
          <t>NORRBOTTENS LÄN</t>
        </is>
      </c>
      <c r="G468" t="inlineStr">
        <is>
          <t>KALIX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44167-2026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46318</v>
      </c>
      <c r="E469" s="1" t="n">
        <v>46320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44237-2026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46318</v>
      </c>
      <c r="E470" s="1" t="n">
        <v>46320</v>
      </c>
      <c r="F470" t="inlineStr">
        <is>
          <t>NORRBOTTENS LÄN</t>
        </is>
      </c>
      <c r="G470" t="inlineStr">
        <is>
          <t>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46320</v>
      </c>
      <c r="F471" t="inlineStr">
        <is>
          <t>NORRBOTTENS LÄN</t>
        </is>
      </c>
      <c r="G471" t="inlineStr">
        <is>
          <t>KALIX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46318</v>
      </c>
      <c r="E472" s="1" t="n">
        <v>46320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46317</v>
      </c>
      <c r="E473" s="1" t="n">
        <v>46320</v>
      </c>
      <c r="F473" t="inlineStr">
        <is>
          <t>NORRBOTTENS LÄN</t>
        </is>
      </c>
      <c r="G473" t="inlineStr">
        <is>
          <t>KALIX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44230-2026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46318</v>
      </c>
      <c r="E474" s="1" t="n">
        <v>46320</v>
      </c>
      <c r="F474" t="inlineStr">
        <is>
          <t>NORRBOTTENS LÄN</t>
        </is>
      </c>
      <c r="G474" t="inlineStr">
        <is>
          <t>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46320</v>
      </c>
      <c r="F475" t="inlineStr">
        <is>
          <t>NORRBOTTENS LÄN</t>
        </is>
      </c>
      <c r="G475" t="inlineStr">
        <is>
          <t>KALIX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46320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45698</v>
      </c>
      <c r="E477" s="1" t="n">
        <v>46320</v>
      </c>
      <c r="F477" t="inlineStr">
        <is>
          <t>NORRBOTTENS LÄN</t>
        </is>
      </c>
      <c r="G477" t="inlineStr">
        <is>
          <t>KALIX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46320</v>
      </c>
      <c r="F478" t="inlineStr">
        <is>
          <t>NORRBOTTENS LÄN</t>
        </is>
      </c>
      <c r="G478" t="inlineStr">
        <is>
          <t>KALIX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45708</v>
      </c>
      <c r="E479" s="1" t="n">
        <v>46320</v>
      </c>
      <c r="F479" t="inlineStr">
        <is>
          <t>NORRBOTTENS LÄN</t>
        </is>
      </c>
      <c r="G479" t="inlineStr">
        <is>
          <t>KALIX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46275</v>
      </c>
      <c r="E480" s="1" t="n">
        <v>46320</v>
      </c>
      <c r="F480" t="inlineStr">
        <is>
          <t>NORRBOTTENS LÄN</t>
        </is>
      </c>
      <c r="G480" t="inlineStr">
        <is>
          <t>KALIX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45641</v>
      </c>
      <c r="E481" s="1" t="n">
        <v>46320</v>
      </c>
      <c r="F481" t="inlineStr">
        <is>
          <t>NORRBOTTENS LÄN</t>
        </is>
      </c>
      <c r="G481" t="inlineStr">
        <is>
          <t>KALIX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46320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46320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46146</v>
      </c>
      <c r="E484" s="1" t="n">
        <v>46320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45259</v>
      </c>
      <c r="E485" s="1" t="n">
        <v>46320</v>
      </c>
      <c r="F485" t="inlineStr">
        <is>
          <t>NORRBOTTENS LÄN</t>
        </is>
      </c>
      <c r="G485" t="inlineStr">
        <is>
          <t>KALIX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46320</v>
      </c>
      <c r="F486" t="inlineStr">
        <is>
          <t>NORRBOTTENS LÄN</t>
        </is>
      </c>
      <c r="G486" t="inlineStr">
        <is>
          <t>KALIX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46081</v>
      </c>
      <c r="E487" s="1" t="n">
        <v>46320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46320</v>
      </c>
      <c r="F488" t="inlineStr">
        <is>
          <t>NORRBOTTENS LÄN</t>
        </is>
      </c>
      <c r="G488" t="inlineStr">
        <is>
          <t>KALIX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46320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46320</v>
      </c>
      <c r="F490" t="inlineStr">
        <is>
          <t>NORRBOTTENS LÄN</t>
        </is>
      </c>
      <c r="G490" t="inlineStr">
        <is>
          <t>KALIX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46320</v>
      </c>
      <c r="F491" t="inlineStr">
        <is>
          <t>NORRBOTTENS LÄN</t>
        </is>
      </c>
      <c r="G491" t="inlineStr">
        <is>
          <t>KALIX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46320</v>
      </c>
      <c r="F492" t="inlineStr">
        <is>
          <t>NORRBOTTENS LÄN</t>
        </is>
      </c>
      <c r="G492" t="inlineStr">
        <is>
          <t>KALIX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46320</v>
      </c>
      <c r="F493" t="inlineStr">
        <is>
          <t>NORRBOTTENS LÄN</t>
        </is>
      </c>
      <c r="G493" t="inlineStr">
        <is>
          <t>KALIX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46320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46320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47565-2024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46320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46320</v>
      </c>
      <c r="F497" t="inlineStr">
        <is>
          <t>NORRBOTTENS LÄN</t>
        </is>
      </c>
      <c r="G497" t="inlineStr">
        <is>
          <t>KALIX</t>
        </is>
      </c>
      <c r="H497" t="inlineStr">
        <is>
          <t>Kommuner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46320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46320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45295</v>
      </c>
      <c r="E500" s="1" t="n">
        <v>46320</v>
      </c>
      <c r="F500" t="inlineStr">
        <is>
          <t>NORRBOTTENS LÄN</t>
        </is>
      </c>
      <c r="G500" t="inlineStr">
        <is>
          <t>KALIX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46320</v>
      </c>
      <c r="F501" t="inlineStr">
        <is>
          <t>NORRBOTTENS LÄN</t>
        </is>
      </c>
      <c r="G501" t="inlineStr">
        <is>
          <t>KALIX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61909-2025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46320</v>
      </c>
      <c r="F502" t="inlineStr">
        <is>
          <t>NORRBOTTENS LÄN</t>
        </is>
      </c>
      <c r="G502" t="inlineStr">
        <is>
          <t>KALIX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46320</v>
      </c>
      <c r="F503" t="inlineStr">
        <is>
          <t>NORRBOTTENS LÄN</t>
        </is>
      </c>
      <c r="G503" t="inlineStr">
        <is>
          <t>KALIX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46320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46320</v>
      </c>
      <c r="F505" t="inlineStr">
        <is>
          <t>NORRBOTTENS LÄN</t>
        </is>
      </c>
      <c r="G505" t="inlineStr">
        <is>
          <t>KALIX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46320</v>
      </c>
      <c r="F506" t="inlineStr">
        <is>
          <t>NORRBOTTENS LÄN</t>
        </is>
      </c>
      <c r="G506" t="inlineStr">
        <is>
          <t>KALIX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46320</v>
      </c>
      <c r="F507" t="inlineStr">
        <is>
          <t>NORRBOTTENS LÄN</t>
        </is>
      </c>
      <c r="G507" t="inlineStr">
        <is>
          <t>KALIX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64907-2021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46320</v>
      </c>
      <c r="F508" t="inlineStr">
        <is>
          <t>NORRBOTTENS LÄN</t>
        </is>
      </c>
      <c r="G508" t="inlineStr">
        <is>
          <t>KALIX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14404-2023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46320</v>
      </c>
      <c r="F509" t="inlineStr">
        <is>
          <t>NORRBOTTENS LÄN</t>
        </is>
      </c>
      <c r="G509" t="inlineStr">
        <is>
          <t>KALIX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46320</v>
      </c>
      <c r="F510" t="inlineStr">
        <is>
          <t>NORRBOTTENS LÄN</t>
        </is>
      </c>
      <c r="G510" t="inlineStr">
        <is>
          <t>KALIX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46320</v>
      </c>
      <c r="F511" t="inlineStr">
        <is>
          <t>NORRBOTTENS LÄN</t>
        </is>
      </c>
      <c r="G511" t="inlineStr">
        <is>
          <t>KALIX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46320</v>
      </c>
      <c r="F512" t="inlineStr">
        <is>
          <t>NORRBOTTENS LÄN</t>
        </is>
      </c>
      <c r="G512" t="inlineStr">
        <is>
          <t>KALIX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57117-2024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45629</v>
      </c>
      <c r="E513" s="1" t="n">
        <v>46320</v>
      </c>
      <c r="F513" t="inlineStr">
        <is>
          <t>NORRBOTTENS LÄN</t>
        </is>
      </c>
      <c r="G513" t="inlineStr">
        <is>
          <t>KALIX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25019-2024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45461</v>
      </c>
      <c r="E514" s="1" t="n">
        <v>46320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46320</v>
      </c>
      <c r="F515" t="inlineStr">
        <is>
          <t>NORRBOTTENS LÄN</t>
        </is>
      </c>
      <c r="G515" t="inlineStr">
        <is>
          <t>KALIX</t>
        </is>
      </c>
      <c r="I515" t="n">
        <v>13.9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46320</v>
      </c>
      <c r="F516" t="inlineStr">
        <is>
          <t>NORRBOTTENS LÄN</t>
        </is>
      </c>
      <c r="G516" t="inlineStr">
        <is>
          <t>KALIX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45719</v>
      </c>
      <c r="E517" s="1" t="n">
        <v>46320</v>
      </c>
      <c r="F517" t="inlineStr">
        <is>
          <t>NORRBOTTENS LÄN</t>
        </is>
      </c>
      <c r="G517" t="inlineStr">
        <is>
          <t>KALIX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46320</v>
      </c>
      <c r="F518" t="inlineStr">
        <is>
          <t>NORRBOTTENS LÄN</t>
        </is>
      </c>
      <c r="G518" t="inlineStr">
        <is>
          <t>KALIX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46320</v>
      </c>
      <c r="F519" t="inlineStr">
        <is>
          <t>NORRBOTTENS LÄN</t>
        </is>
      </c>
      <c r="G519" t="inlineStr">
        <is>
          <t>KALIX</t>
        </is>
      </c>
      <c r="I519" t="n">
        <v>12.1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44712</v>
      </c>
      <c r="E520" s="1" t="n">
        <v>46320</v>
      </c>
      <c r="F520" t="inlineStr">
        <is>
          <t>NORRBOTTENS LÄN</t>
        </is>
      </c>
      <c r="G520" t="inlineStr">
        <is>
          <t>KALIX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46320</v>
      </c>
      <c r="F521" t="inlineStr">
        <is>
          <t>NORRBOTTENS LÄN</t>
        </is>
      </c>
      <c r="G521" t="inlineStr">
        <is>
          <t>KALIX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45063</v>
      </c>
      <c r="E522" s="1" t="n">
        <v>46320</v>
      </c>
      <c r="F522" t="inlineStr">
        <is>
          <t>NORRBOTTENS LÄN</t>
        </is>
      </c>
      <c r="G522" t="inlineStr">
        <is>
          <t>KALIX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45190</v>
      </c>
      <c r="E523" s="1" t="n">
        <v>46320</v>
      </c>
      <c r="F523" t="inlineStr">
        <is>
          <t>NORRBOTTENS LÄN</t>
        </is>
      </c>
      <c r="G523" t="inlineStr">
        <is>
          <t>KALIX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45201</v>
      </c>
      <c r="E524" s="1" t="n">
        <v>46320</v>
      </c>
      <c r="F524" t="inlineStr">
        <is>
          <t>NORRBOTTENS LÄN</t>
        </is>
      </c>
      <c r="G524" t="inlineStr">
        <is>
          <t>KALIX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46320</v>
      </c>
      <c r="F525" t="inlineStr">
        <is>
          <t>NORRBOTTENS LÄN</t>
        </is>
      </c>
      <c r="G525" t="inlineStr">
        <is>
          <t>KALIX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46320</v>
      </c>
      <c r="F526" t="inlineStr">
        <is>
          <t>NORRBOTTENS LÄN</t>
        </is>
      </c>
      <c r="G526" t="inlineStr">
        <is>
          <t>KALIX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46320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45054</v>
      </c>
      <c r="E528" s="1" t="n">
        <v>46320</v>
      </c>
      <c r="F528" t="inlineStr">
        <is>
          <t>NORRBOTTENS LÄN</t>
        </is>
      </c>
      <c r="G528" t="inlineStr">
        <is>
          <t>KALIX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20084-2023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45054</v>
      </c>
      <c r="E529" s="1" t="n">
        <v>46320</v>
      </c>
      <c r="F529" t="inlineStr">
        <is>
          <t>NORRBOTTENS LÄN</t>
        </is>
      </c>
      <c r="G529" t="inlineStr">
        <is>
          <t>KALIX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45266</v>
      </c>
      <c r="E530" s="1" t="n">
        <v>46320</v>
      </c>
      <c r="F530" t="inlineStr">
        <is>
          <t>NORRBOTTENS LÄN</t>
        </is>
      </c>
      <c r="G530" t="inlineStr">
        <is>
          <t>KALIX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46320</v>
      </c>
      <c r="F531" t="inlineStr">
        <is>
          <t>NORRBOTTENS LÄN</t>
        </is>
      </c>
      <c r="G531" t="inlineStr">
        <is>
          <t>KALIX</t>
        </is>
      </c>
      <c r="I531" t="n">
        <v>17.7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25871-2022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46320</v>
      </c>
      <c r="F532" t="inlineStr">
        <is>
          <t>NORRBOTTENS LÄN</t>
        </is>
      </c>
      <c r="G532" t="inlineStr">
        <is>
          <t>KALIX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49216-2023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46320</v>
      </c>
      <c r="F533" t="inlineStr">
        <is>
          <t>NORRBOTTENS LÄN</t>
        </is>
      </c>
      <c r="G533" t="inlineStr">
        <is>
          <t>KALIX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46320</v>
      </c>
      <c r="F534" t="inlineStr">
        <is>
          <t>NORRBOTTENS LÄN</t>
        </is>
      </c>
      <c r="G534" t="inlineStr">
        <is>
          <t>KALIX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45541</v>
      </c>
      <c r="E535" s="1" t="n">
        <v>46320</v>
      </c>
      <c r="F535" t="inlineStr">
        <is>
          <t>NORRBOTTENS LÄN</t>
        </is>
      </c>
      <c r="G535" t="inlineStr">
        <is>
          <t>KALIX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46320</v>
      </c>
      <c r="F536" t="inlineStr">
        <is>
          <t>NORRBOTTENS LÄN</t>
        </is>
      </c>
      <c r="G536" t="inlineStr">
        <is>
          <t>KALIX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46320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46320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45295</v>
      </c>
      <c r="E539" s="1" t="n">
        <v>46320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16221-2024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45406</v>
      </c>
      <c r="E540" s="1" t="n">
        <v>46320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46320</v>
      </c>
      <c r="F541" t="inlineStr">
        <is>
          <t>NORRBOTTENS LÄN</t>
        </is>
      </c>
      <c r="G541" t="inlineStr">
        <is>
          <t>KALIX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46320</v>
      </c>
      <c r="F542" t="inlineStr">
        <is>
          <t>NORRBOTTENS LÄN</t>
        </is>
      </c>
      <c r="G542" t="inlineStr">
        <is>
          <t>KALIX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58296-2022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44901</v>
      </c>
      <c r="E543" s="1" t="n">
        <v>46320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46320</v>
      </c>
      <c r="F544" t="inlineStr">
        <is>
          <t>NORRBOTTENS LÄN</t>
        </is>
      </c>
      <c r="G544" t="inlineStr">
        <is>
          <t>KALIX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62139-2023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45266</v>
      </c>
      <c r="E545" s="1" t="n">
        <v>46320</v>
      </c>
      <c r="F545" t="inlineStr">
        <is>
          <t>NORRBOTTENS LÄN</t>
        </is>
      </c>
      <c r="G545" t="inlineStr">
        <is>
          <t>KALIX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46320</v>
      </c>
      <c r="F546" t="inlineStr">
        <is>
          <t>NORRBOTTENS LÄN</t>
        </is>
      </c>
      <c r="G546" t="inlineStr">
        <is>
          <t>KALIX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57939-2023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45247</v>
      </c>
      <c r="E547" s="1" t="n">
        <v>46320</v>
      </c>
      <c r="F547" t="inlineStr">
        <is>
          <t>NORRBOTTENS LÄN</t>
        </is>
      </c>
      <c r="G547" t="inlineStr">
        <is>
          <t>KALIX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46765-2023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45198</v>
      </c>
      <c r="E548" s="1" t="n">
        <v>46320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44532</v>
      </c>
      <c r="E549" s="1" t="n">
        <v>46320</v>
      </c>
      <c r="F549" t="inlineStr">
        <is>
          <t>NORRBOTTENS LÄN</t>
        </is>
      </c>
      <c r="G549" t="inlineStr">
        <is>
          <t>KALIX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24135-2023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45079</v>
      </c>
      <c r="E550" s="1" t="n">
        <v>46320</v>
      </c>
      <c r="F550" t="inlineStr">
        <is>
          <t>NORRBOTTENS LÄN</t>
        </is>
      </c>
      <c r="G550" t="inlineStr">
        <is>
          <t>KALIX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44936</v>
      </c>
      <c r="E551" s="1" t="n">
        <v>46320</v>
      </c>
      <c r="F551" t="inlineStr">
        <is>
          <t>NORRBOTTENS LÄN</t>
        </is>
      </c>
      <c r="G551" t="inlineStr">
        <is>
          <t>KALIX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46320</v>
      </c>
      <c r="F552" t="inlineStr">
        <is>
          <t>NORRBOTTENS LÄN</t>
        </is>
      </c>
      <c r="G552" t="inlineStr">
        <is>
          <t>KALIX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45457</v>
      </c>
      <c r="E553" s="1" t="n">
        <v>46320</v>
      </c>
      <c r="F553" t="inlineStr">
        <is>
          <t>NORRBOTTENS LÄN</t>
        </is>
      </c>
      <c r="G553" t="inlineStr">
        <is>
          <t>KALIX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45602</v>
      </c>
      <c r="E554" s="1" t="n">
        <v>46320</v>
      </c>
      <c r="F554" t="inlineStr">
        <is>
          <t>NORRBOTTENS LÄN</t>
        </is>
      </c>
      <c r="G554" t="inlineStr">
        <is>
          <t>KALIX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44580</v>
      </c>
      <c r="E555" s="1" t="n">
        <v>46320</v>
      </c>
      <c r="F555" t="inlineStr">
        <is>
          <t>NORRBOTTENS LÄN</t>
        </is>
      </c>
      <c r="G555" t="inlineStr">
        <is>
          <t>KALIX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67004-2021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44522</v>
      </c>
      <c r="E556" s="1" t="n">
        <v>46320</v>
      </c>
      <c r="F556" t="inlineStr">
        <is>
          <t>NORRBOTTENS LÄN</t>
        </is>
      </c>
      <c r="G556" t="inlineStr">
        <is>
          <t>KALIX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46320</v>
      </c>
      <c r="F557" t="inlineStr">
        <is>
          <t>NORRBOTTENS LÄN</t>
        </is>
      </c>
      <c r="G557" t="inlineStr">
        <is>
          <t>KALIX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46320</v>
      </c>
      <c r="F558" t="inlineStr">
        <is>
          <t>NORRBOTTENS LÄN</t>
        </is>
      </c>
      <c r="G558" t="inlineStr">
        <is>
          <t>KALIX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45585</v>
      </c>
      <c r="E559" s="1" t="n">
        <v>46320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46320</v>
      </c>
      <c r="F560" t="inlineStr">
        <is>
          <t>NORRBOTTENS LÄN</t>
        </is>
      </c>
      <c r="G560" t="inlineStr">
        <is>
          <t>KALIX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46320</v>
      </c>
      <c r="F561" t="inlineStr">
        <is>
          <t>NORRBOTTENS LÄN</t>
        </is>
      </c>
      <c r="G561" t="inlineStr">
        <is>
          <t>KALIX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46320</v>
      </c>
      <c r="F562" t="inlineStr">
        <is>
          <t>NORRBOTTENS LÄN</t>
        </is>
      </c>
      <c r="G562" t="inlineStr">
        <is>
          <t>KALIX</t>
        </is>
      </c>
      <c r="I562" t="n">
        <v>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46320</v>
      </c>
      <c r="F563" t="inlineStr">
        <is>
          <t>NORRBOTTENS LÄN</t>
        </is>
      </c>
      <c r="G563" t="inlineStr">
        <is>
          <t>KALIX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46320</v>
      </c>
      <c r="F564" t="inlineStr">
        <is>
          <t>NORRBOTTENS LÄN</t>
        </is>
      </c>
      <c r="G564" t="inlineStr">
        <is>
          <t>KALIX</t>
        </is>
      </c>
      <c r="I564" t="n">
        <v>11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46320</v>
      </c>
      <c r="F565" t="inlineStr">
        <is>
          <t>NORRBOTTENS LÄN</t>
        </is>
      </c>
      <c r="G565" t="inlineStr">
        <is>
          <t>KALIX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13537-2022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44648</v>
      </c>
      <c r="E566" s="1" t="n">
        <v>46320</v>
      </c>
      <c r="F566" t="inlineStr">
        <is>
          <t>NORRBOTTENS LÄN</t>
        </is>
      </c>
      <c r="G566" t="inlineStr">
        <is>
          <t>KALIX</t>
        </is>
      </c>
      <c r="H566" t="inlineStr">
        <is>
          <t>BillerudKorsnäs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45163</v>
      </c>
      <c r="E567" s="1" t="n">
        <v>46320</v>
      </c>
      <c r="F567" t="inlineStr">
        <is>
          <t>NORRBOTTENS LÄN</t>
        </is>
      </c>
      <c r="G567" t="inlineStr">
        <is>
          <t>KALIX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11856-2023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44995</v>
      </c>
      <c r="E568" s="1" t="n">
        <v>46320</v>
      </c>
      <c r="F568" t="inlineStr">
        <is>
          <t>NORRBOTTENS LÄN</t>
        </is>
      </c>
      <c r="G568" t="inlineStr">
        <is>
          <t>KALIX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1262-2025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45667</v>
      </c>
      <c r="E569" s="1" t="n">
        <v>46320</v>
      </c>
      <c r="F569" t="inlineStr">
        <is>
          <t>NORRBOTTENS LÄN</t>
        </is>
      </c>
      <c r="G569" t="inlineStr">
        <is>
          <t>KALIX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57338-2024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46320</v>
      </c>
      <c r="F570" t="inlineStr">
        <is>
          <t>NORRBOTTENS LÄN</t>
        </is>
      </c>
      <c r="G570" t="inlineStr">
        <is>
          <t>KALIX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45679</v>
      </c>
      <c r="E571" s="1" t="n">
        <v>46320</v>
      </c>
      <c r="F571" t="inlineStr">
        <is>
          <t>NORRBOTTENS LÄN</t>
        </is>
      </c>
      <c r="G571" t="inlineStr">
        <is>
          <t>KALIX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46320</v>
      </c>
      <c r="F572" t="inlineStr">
        <is>
          <t>NORRBOTTENS LÄN</t>
        </is>
      </c>
      <c r="G572" t="inlineStr">
        <is>
          <t>KALIX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49759-2022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44862</v>
      </c>
      <c r="E573" s="1" t="n">
        <v>46320</v>
      </c>
      <c r="F573" t="inlineStr">
        <is>
          <t>NORRBOTTENS LÄN</t>
        </is>
      </c>
      <c r="G573" t="inlineStr">
        <is>
          <t>KALIX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46320</v>
      </c>
      <c r="F574" t="inlineStr">
        <is>
          <t>NORRBOTTENS LÄN</t>
        </is>
      </c>
      <c r="G574" t="inlineStr">
        <is>
          <t>KALIX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46320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45415</v>
      </c>
      <c r="E576" s="1" t="n">
        <v>46320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45415</v>
      </c>
      <c r="E577" s="1" t="n">
        <v>46320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44749</v>
      </c>
      <c r="E578" s="1" t="n">
        <v>46320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45261</v>
      </c>
      <c r="E579" s="1" t="n">
        <v>46320</v>
      </c>
      <c r="F579" t="inlineStr">
        <is>
          <t>NORRBOTTENS LÄN</t>
        </is>
      </c>
      <c r="G579" t="inlineStr">
        <is>
          <t>KALIX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45170</v>
      </c>
      <c r="E580" s="1" t="n">
        <v>46320</v>
      </c>
      <c r="F580" t="inlineStr">
        <is>
          <t>NORRBOTTENS LÄN</t>
        </is>
      </c>
      <c r="G580" t="inlineStr">
        <is>
          <t>KALIX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45314</v>
      </c>
      <c r="E581" s="1" t="n">
        <v>46320</v>
      </c>
      <c r="F581" t="inlineStr">
        <is>
          <t>NORRBOTTENS LÄN</t>
        </is>
      </c>
      <c r="G581" t="inlineStr">
        <is>
          <t>KALIX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49889-2023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45213</v>
      </c>
      <c r="E582" s="1" t="n">
        <v>46320</v>
      </c>
      <c r="F582" t="inlineStr">
        <is>
          <t>NORRBOTTENS LÄN</t>
        </is>
      </c>
      <c r="G582" t="inlineStr">
        <is>
          <t>KALIX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44722</v>
      </c>
      <c r="E583" s="1" t="n">
        <v>46320</v>
      </c>
      <c r="F583" t="inlineStr">
        <is>
          <t>NORRBOTTENS LÄN</t>
        </is>
      </c>
      <c r="G583" t="inlineStr">
        <is>
          <t>KALIX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44706</v>
      </c>
      <c r="E584" s="1" t="n">
        <v>46320</v>
      </c>
      <c r="F584" t="inlineStr">
        <is>
          <t>NORRBOTTENS LÄN</t>
        </is>
      </c>
      <c r="G584" t="inlineStr">
        <is>
          <t>KALIX</t>
        </is>
      </c>
      <c r="H584" t="inlineStr">
        <is>
          <t>Sveaskog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45355</v>
      </c>
      <c r="E585" s="1" t="n">
        <v>46320</v>
      </c>
      <c r="F585" t="inlineStr">
        <is>
          <t>NORRBOTTENS LÄN</t>
        </is>
      </c>
      <c r="G585" t="inlineStr">
        <is>
          <t>KALIX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58765-2023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45251</v>
      </c>
      <c r="E586" s="1" t="n">
        <v>46320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46320</v>
      </c>
      <c r="F587" t="inlineStr">
        <is>
          <t>NORRBOTTENS LÄN</t>
        </is>
      </c>
      <c r="G587" t="inlineStr">
        <is>
          <t>KALIX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45044</v>
      </c>
      <c r="E588" s="1" t="n">
        <v>46320</v>
      </c>
      <c r="F588" t="inlineStr">
        <is>
          <t>NORRBOTTENS LÄN</t>
        </is>
      </c>
      <c r="G588" t="inlineStr">
        <is>
          <t>KALIX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44970</v>
      </c>
      <c r="E589" s="1" t="n">
        <v>46320</v>
      </c>
      <c r="F589" t="inlineStr">
        <is>
          <t>NORRBOTTENS LÄN</t>
        </is>
      </c>
      <c r="G589" t="inlineStr">
        <is>
          <t>KALIX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44970</v>
      </c>
      <c r="E590" s="1" t="n">
        <v>46320</v>
      </c>
      <c r="F590" t="inlineStr">
        <is>
          <t>NORRBOTTENS LÄN</t>
        </is>
      </c>
      <c r="G590" t="inlineStr">
        <is>
          <t>KALIX</t>
        </is>
      </c>
      <c r="I590" t="n">
        <v>16.9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44974</v>
      </c>
      <c r="E591" s="1" t="n">
        <v>46320</v>
      </c>
      <c r="F591" t="inlineStr">
        <is>
          <t>NORRBOTTENS LÄN</t>
        </is>
      </c>
      <c r="G591" t="inlineStr">
        <is>
          <t>KALIX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46320</v>
      </c>
      <c r="F592" t="inlineStr">
        <is>
          <t>NORRBOTTENS LÄN</t>
        </is>
      </c>
      <c r="G592" t="inlineStr">
        <is>
          <t>KALIX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45505</v>
      </c>
      <c r="E593" s="1" t="n">
        <v>46320</v>
      </c>
      <c r="F593" t="inlineStr">
        <is>
          <t>NORRBOTTENS LÄN</t>
        </is>
      </c>
      <c r="G593" t="inlineStr">
        <is>
          <t>KALIX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44964</v>
      </c>
      <c r="E594" s="1" t="n">
        <v>46320</v>
      </c>
      <c r="F594" t="inlineStr">
        <is>
          <t>NORRBOTTENS LÄN</t>
        </is>
      </c>
      <c r="G594" t="inlineStr">
        <is>
          <t>KALIX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46320</v>
      </c>
      <c r="F595" t="inlineStr">
        <is>
          <t>NORRBOTTENS LÄN</t>
        </is>
      </c>
      <c r="G595" t="inlineStr">
        <is>
          <t>KALIX</t>
        </is>
      </c>
      <c r="I595" t="n">
        <v>13.5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62135-2023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45266</v>
      </c>
      <c r="E596" s="1" t="n">
        <v>46320</v>
      </c>
      <c r="F596" t="inlineStr">
        <is>
          <t>NORRBOTTENS LÄN</t>
        </is>
      </c>
      <c r="G596" t="inlineStr">
        <is>
          <t>KALIX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46320</v>
      </c>
      <c r="F597" t="inlineStr">
        <is>
          <t>NORRBOTTENS LÄN</t>
        </is>
      </c>
      <c r="G597" t="inlineStr">
        <is>
          <t>KALIX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46320</v>
      </c>
      <c r="F598" t="inlineStr">
        <is>
          <t>NORRBOTTENS LÄN</t>
        </is>
      </c>
      <c r="G598" t="inlineStr">
        <is>
          <t>KALIX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45553</v>
      </c>
      <c r="E599" s="1" t="n">
        <v>46320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59021-2022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46320</v>
      </c>
      <c r="F600" t="inlineStr">
        <is>
          <t>NORRBOTTENS LÄN</t>
        </is>
      </c>
      <c r="G600" t="inlineStr">
        <is>
          <t>KALIX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45492</v>
      </c>
      <c r="E601" s="1" t="n">
        <v>46320</v>
      </c>
      <c r="F601" t="inlineStr">
        <is>
          <t>NORRBOTTENS LÄN</t>
        </is>
      </c>
      <c r="G601" t="inlineStr">
        <is>
          <t>KALIX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45561</v>
      </c>
      <c r="E602" s="1" t="n">
        <v>46320</v>
      </c>
      <c r="F602" t="inlineStr">
        <is>
          <t>NORRBOTTENS LÄN</t>
        </is>
      </c>
      <c r="G602" t="inlineStr">
        <is>
          <t>KALIX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45419</v>
      </c>
      <c r="E603" s="1" t="n">
        <v>46320</v>
      </c>
      <c r="F603" t="inlineStr">
        <is>
          <t>NORRBOTTENS LÄN</t>
        </is>
      </c>
      <c r="G603" t="inlineStr">
        <is>
          <t>KALIX</t>
        </is>
      </c>
      <c r="H603" t="inlineStr">
        <is>
          <t>SCA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2172-2022</t>
        </is>
      </c>
      <c r="B604" t="inlineStr">
        <is>
          <t>samrådsanmälan</t>
        </is>
      </c>
      <c r="C604" t="inlineStr">
        <is>
          <t>Skogsbilväg</t>
        </is>
      </c>
      <c r="D604" s="1" t="n">
        <v>44678</v>
      </c>
      <c r="E604" s="1" t="n">
        <v>46320</v>
      </c>
      <c r="F604" t="inlineStr">
        <is>
          <t>NORRBOTTENS LÄN</t>
        </is>
      </c>
      <c r="G604" t="inlineStr">
        <is>
          <t>KALIX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1138-2024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45393</v>
      </c>
      <c r="E605" s="1" t="n">
        <v>46320</v>
      </c>
      <c r="F605" t="inlineStr">
        <is>
          <t>NORRBOTTENS LÄN</t>
        </is>
      </c>
      <c r="G605" t="inlineStr">
        <is>
          <t>KALIX</t>
        </is>
      </c>
      <c r="I605" t="n">
        <v>16.5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1658-2023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45061</v>
      </c>
      <c r="E606" s="1" t="n">
        <v>46320</v>
      </c>
      <c r="F606" t="inlineStr">
        <is>
          <t>NORRBOTTENS LÄN</t>
        </is>
      </c>
      <c r="G606" t="inlineStr">
        <is>
          <t>KALIX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157-2023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44944</v>
      </c>
      <c r="E607" s="1" t="n">
        <v>46320</v>
      </c>
      <c r="F607" t="inlineStr">
        <is>
          <t>NORRBOTTENS LÄN</t>
        </is>
      </c>
      <c r="G607" t="inlineStr">
        <is>
          <t>KALIX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1139-2024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45393</v>
      </c>
      <c r="E608" s="1" t="n">
        <v>46320</v>
      </c>
      <c r="F608" t="inlineStr">
        <is>
          <t>NORRBOTTENS LÄN</t>
        </is>
      </c>
      <c r="G608" t="inlineStr">
        <is>
          <t>KALIX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1659-2023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45061</v>
      </c>
      <c r="E609" s="1" t="n">
        <v>46320</v>
      </c>
      <c r="F609" t="inlineStr">
        <is>
          <t>NORRBOTTENS LÄN</t>
        </is>
      </c>
      <c r="G609" t="inlineStr">
        <is>
          <t>KALIX</t>
        </is>
      </c>
      <c r="I609" t="n">
        <v>17.1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1131-2024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45393</v>
      </c>
      <c r="E610" s="1" t="n">
        <v>46320</v>
      </c>
      <c r="F610" t="inlineStr">
        <is>
          <t>NORRBOTTENS LÄN</t>
        </is>
      </c>
      <c r="G610" t="inlineStr">
        <is>
          <t>KALIX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1656-2023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45061</v>
      </c>
      <c r="E611" s="1" t="n">
        <v>46320</v>
      </c>
      <c r="F611" t="inlineStr">
        <is>
          <t>NORRBOTTENS LÄN</t>
        </is>
      </c>
      <c r="G611" t="inlineStr">
        <is>
          <t>KALIX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961-2024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45383</v>
      </c>
      <c r="E612" s="1" t="n">
        <v>46320</v>
      </c>
      <c r="F612" t="inlineStr">
        <is>
          <t>NORRBOTTENS LÄN</t>
        </is>
      </c>
      <c r="G612" t="inlineStr">
        <is>
          <t>KALIX</t>
        </is>
      </c>
      <c r="H612" t="inlineStr">
        <is>
          <t>Sveaskog</t>
        </is>
      </c>
      <c r="I612" t="n">
        <v>9.9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849-2025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45733</v>
      </c>
      <c r="E613" s="1" t="n">
        <v>46320</v>
      </c>
      <c r="F613" t="inlineStr">
        <is>
          <t>NORRBOTTENS LÄN</t>
        </is>
      </c>
      <c r="G613" t="inlineStr">
        <is>
          <t>KALIX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1018-2025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45747</v>
      </c>
      <c r="E614" s="1" t="n">
        <v>46320</v>
      </c>
      <c r="F614" t="inlineStr">
        <is>
          <t>NORRBOTTENS LÄN</t>
        </is>
      </c>
      <c r="G614" t="inlineStr">
        <is>
          <t>KALIX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45747</v>
      </c>
      <c r="E615" s="1" t="n">
        <v>46320</v>
      </c>
      <c r="F615" t="inlineStr">
        <is>
          <t>NORRBOTTENS LÄN</t>
        </is>
      </c>
      <c r="G615" t="inlineStr">
        <is>
          <t>KALIX</t>
        </is>
      </c>
      <c r="I615" t="n">
        <v>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1176-2025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45756</v>
      </c>
      <c r="E616" s="1" t="n">
        <v>46320</v>
      </c>
      <c r="F616" t="inlineStr">
        <is>
          <t>NORRBOTTENS LÄN</t>
        </is>
      </c>
      <c r="G616" t="inlineStr">
        <is>
          <t>KALIX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1356-2025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45775</v>
      </c>
      <c r="E617" s="1" t="n">
        <v>46320</v>
      </c>
      <c r="F617" t="inlineStr">
        <is>
          <t>NORRBOTTENS LÄN</t>
        </is>
      </c>
      <c r="G617" t="inlineStr">
        <is>
          <t>KALIX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1355-2025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45775</v>
      </c>
      <c r="E618" s="1" t="n">
        <v>46320</v>
      </c>
      <c r="F618" t="inlineStr">
        <is>
          <t>NORRBOTTENS LÄN</t>
        </is>
      </c>
      <c r="G618" t="inlineStr">
        <is>
          <t>KALIX</t>
        </is>
      </c>
      <c r="I618" t="n">
        <v>36.9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1493-2026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46162</v>
      </c>
      <c r="E619" s="1" t="n">
        <v>46320</v>
      </c>
      <c r="F619" t="inlineStr">
        <is>
          <t>NORRBOTTENS LÄN</t>
        </is>
      </c>
      <c r="G619" t="inlineStr">
        <is>
          <t>KALIX</t>
        </is>
      </c>
      <c r="I619" t="n">
        <v>13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46190</v>
      </c>
      <c r="E620" s="1" t="n">
        <v>46320</v>
      </c>
      <c r="F620" t="inlineStr">
        <is>
          <t>NORRBOTTENS LÄN</t>
        </is>
      </c>
      <c r="G620" t="inlineStr">
        <is>
          <t>KALIX</t>
        </is>
      </c>
      <c r="I620" t="n">
        <v>12.8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>
      <c r="A621" t="inlineStr">
        <is>
          <t>S 1797-2026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46190</v>
      </c>
      <c r="E621" s="1" t="n">
        <v>46320</v>
      </c>
      <c r="F621" t="inlineStr">
        <is>
          <t>NORRBOTTENS LÄN</t>
        </is>
      </c>
      <c r="G621" t="inlineStr">
        <is>
          <t>KALIX</t>
        </is>
      </c>
      <c r="I621" t="n">
        <v>17.6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2026-10-25T02:04:13Z</dcterms:created>
  <dcterms:modified xmlns:dcterms="http://purl.org/dc/terms/" xmlns:xsi="http://www.w3.org/2001/XMLSchema-instance" xsi:type="dcterms:W3CDTF">2026-10-25T02:04:13Z</dcterms:modified>
</cp:coreProperties>
</file>