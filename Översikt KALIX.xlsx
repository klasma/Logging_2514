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46250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46250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46250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46250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46250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46250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46250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46250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46250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46250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46250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46250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46250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46250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46250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46250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29564-2026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46204</v>
      </c>
      <c r="E20" s="1" t="n">
        <v>46250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1.1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Rävticka</t>
        </is>
      </c>
      <c r="W20">
        <f>HYPERLINK("https://klasma.github.io/Logging_2514/artfynd/A 29564-2026 artfynd.xlsx", "A 29564-2026")</f>
        <v/>
      </c>
      <c r="X20">
        <f>HYPERLINK("https://klasma.github.io/Logging_2514/kartor/A 29564-2026 karta.png", "A 29564-2026")</f>
        <v/>
      </c>
      <c r="Y20">
        <f>HYPERLINK("https://klasma.github.io/Logging_2514/kartor_geotiff/A 29564-2026 georefererad karta.tif", "A 29564-2026")</f>
        <v/>
      </c>
      <c r="AA20">
        <f>HYPERLINK("https://klasma.github.io/Logging_2514/klagomål/A 29564-2026 FSC-klagomål.docx", "A 29564-2026")</f>
        <v/>
      </c>
      <c r="AB20">
        <f>HYPERLINK("https://klasma.github.io/Logging_2514/klagomålsmail/A 29564-2026 FSC-klagomål mail.docx", "A 29564-2026")</f>
        <v/>
      </c>
      <c r="AC20">
        <f>HYPERLINK("https://klasma.github.io/Logging_2514/tillsyn/A 29564-2026 tillsynsbegäran.docx", "A 29564-2026")</f>
        <v/>
      </c>
      <c r="AD20">
        <f>HYPERLINK("https://klasma.github.io/Logging_2514/tillsynsmail/A 29564-2026 tillsynsbegäran mail.docx", "A 29564-2026")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46250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46250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46250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46250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3387-2023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44945</v>
      </c>
      <c r="E25" s="1" t="n">
        <v>46250</v>
      </c>
      <c r="F25" t="inlineStr">
        <is>
          <t>NORRBOTTENS LÄN</t>
        </is>
      </c>
      <c r="G25" t="inlineStr">
        <is>
          <t>KALIX</t>
        </is>
      </c>
      <c r="I25" t="n">
        <v>2.9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Guckusko</t>
        </is>
      </c>
      <c r="W25">
        <f>HYPERLINK("https://klasma.github.io/Logging_2514/artfynd/A 3387-2023 artfynd.xlsx", "A 3387-2023")</f>
        <v/>
      </c>
      <c r="X25">
        <f>HYPERLINK("https://klasma.github.io/Logging_2514/kartor/A 3387-2023 karta.png", "A 3387-2023")</f>
        <v/>
      </c>
      <c r="Y25">
        <f>HYPERLINK("https://klasma.github.io/Logging_2514/kartor_geotiff/A 3387-2023 georefererad karta.tif", "A 3387-2023")</f>
        <v/>
      </c>
      <c r="AA25">
        <f>HYPERLINK("https://klasma.github.io/Logging_2514/klagomål/A 3387-2023 FSC-klagomål.docx", "A 3387-2023")</f>
        <v/>
      </c>
      <c r="AB25">
        <f>HYPERLINK("https://klasma.github.io/Logging_2514/klagomålsmail/A 3387-2023 FSC-klagomål mail.docx", "A 3387-2023")</f>
        <v/>
      </c>
      <c r="AC25">
        <f>HYPERLINK("https://klasma.github.io/Logging_2514/tillsyn/A 3387-2023 tillsynsbegäran.docx", "A 3387-2023")</f>
        <v/>
      </c>
      <c r="AD25">
        <f>HYPERLINK("https://klasma.github.io/Logging_2514/tillsynsmail/A 3387-2023 tillsynsbegäran mail.docx", "A 3387-2023")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46250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46250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46152-2021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46250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Garnlav</t>
        </is>
      </c>
      <c r="W30">
        <f>HYPERLINK("https://klasma.github.io/Logging_2514/artfynd/A 46152-2021 artfynd.xlsx", "A 46152-2021")</f>
        <v/>
      </c>
      <c r="X30">
        <f>HYPERLINK("https://klasma.github.io/Logging_2514/kartor/A 46152-2021 karta.png", "A 46152-2021")</f>
        <v/>
      </c>
      <c r="Y30">
        <f>HYPERLINK("https://klasma.github.io/Logging_2514/kartor_geotiff/A 46152-2021 georefererad karta.tif", "A 46152-2021")</f>
        <v/>
      </c>
      <c r="AA30">
        <f>HYPERLINK("https://klasma.github.io/Logging_2514/klagomål/A 46152-2021 FSC-klagomål.docx", "A 46152-2021")</f>
        <v/>
      </c>
      <c r="AB30">
        <f>HYPERLINK("https://klasma.github.io/Logging_2514/klagomålsmail/A 46152-2021 FSC-klagomål mail.docx", "A 46152-2021")</f>
        <v/>
      </c>
      <c r="AC30">
        <f>HYPERLINK("https://klasma.github.io/Logging_2514/tillsyn/A 46152-2021 tillsynsbegäran.docx", "A 46152-2021")</f>
        <v/>
      </c>
      <c r="AD30">
        <f>HYPERLINK("https://klasma.github.io/Logging_2514/tillsynsmail/A 46152-2021 tillsynsbegäran mail.docx", "A 46152-2021")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46250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46250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24466-2026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46250</v>
      </c>
      <c r="F33" t="inlineStr">
        <is>
          <t>NORRBOTTENS LÄN</t>
        </is>
      </c>
      <c r="G33" t="inlineStr">
        <is>
          <t>KALIX</t>
        </is>
      </c>
      <c r="I33" t="n">
        <v>6.3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Spillkråka</t>
        </is>
      </c>
      <c r="W33">
        <f>HYPERLINK("https://klasma.github.io/Logging_2514/artfynd/A 24466-2026 artfynd.xlsx", "A 24466-2026")</f>
        <v/>
      </c>
      <c r="X33">
        <f>HYPERLINK("https://klasma.github.io/Logging_2514/kartor/A 24466-2026 karta.png", "A 24466-2026")</f>
        <v/>
      </c>
      <c r="Y33">
        <f>HYPERLINK("https://klasma.github.io/Logging_2514/kartor_geotiff/A 24466-2026 georefererad karta.tif", "A 24466-2026")</f>
        <v/>
      </c>
      <c r="AA33">
        <f>HYPERLINK("https://klasma.github.io/Logging_2514/klagomål/A 24466-2026 FSC-klagomål.docx", "A 24466-2026")</f>
        <v/>
      </c>
      <c r="AB33">
        <f>HYPERLINK("https://klasma.github.io/Logging_2514/klagomålsmail/A 24466-2026 FSC-klagomål mail.docx", "A 24466-2026")</f>
        <v/>
      </c>
      <c r="AC33">
        <f>HYPERLINK("https://klasma.github.io/Logging_2514/tillsyn/A 24466-2026 tillsynsbegäran.docx", "A 24466-2026")</f>
        <v/>
      </c>
      <c r="AD33">
        <f>HYPERLINK("https://klasma.github.io/Logging_2514/tillsynsmail/A 24466-2026 tillsynsbegäran mail.docx", "A 24466-2026")</f>
        <v/>
      </c>
      <c r="AE33">
        <f>HYPERLINK("https://klasma.github.io/Logging_2514/fåglar/A 24466-2026 prioriterade fågelarter.docx", "A 24466-2026")</f>
        <v/>
      </c>
    </row>
    <row r="34" ht="15" customHeight="1">
      <c r="A34" t="inlineStr">
        <is>
          <t>A 26975-2026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46250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HYPERLINK("https://klasma.github.io/Logging_2514/artfynd/A 26975-2026 artfynd.xlsx", "A 26975-2026")</f>
        <v/>
      </c>
      <c r="X34">
        <f>HYPERLINK("https://klasma.github.io/Logging_2514/kartor/A 26975-2026 karta.png", "A 26975-2026")</f>
        <v/>
      </c>
      <c r="Y34">
        <f>HYPERLINK("https://klasma.github.io/Logging_2514/kartor_geotiff/A 26975-2026 georefererad karta.tif", "A 26975-2026")</f>
        <v/>
      </c>
      <c r="AA34">
        <f>HYPERLINK("https://klasma.github.io/Logging_2514/klagomål/A 26975-2026 FSC-klagomål.docx", "A 26975-2026")</f>
        <v/>
      </c>
      <c r="AB34">
        <f>HYPERLINK("https://klasma.github.io/Logging_2514/klagomålsmail/A 26975-2026 FSC-klagomål mail.docx", "A 26975-2026")</f>
        <v/>
      </c>
      <c r="AC34">
        <f>HYPERLINK("https://klasma.github.io/Logging_2514/tillsyn/A 26975-2026 tillsynsbegäran.docx", "A 26975-2026")</f>
        <v/>
      </c>
      <c r="AD34">
        <f>HYPERLINK("https://klasma.github.io/Logging_2514/tillsynsmail/A 26975-2026 tillsynsbegäran mail.docx", "A 26975-2026")</f>
        <v/>
      </c>
    </row>
    <row r="35" ht="15" customHeight="1">
      <c r="A35" t="inlineStr">
        <is>
          <t>A 32353-2026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46238</v>
      </c>
      <c r="E35" s="1" t="n">
        <v>46250</v>
      </c>
      <c r="F35" t="inlineStr">
        <is>
          <t>NORRBOTTENS LÄN</t>
        </is>
      </c>
      <c r="G35" t="inlineStr">
        <is>
          <t>KALIX</t>
        </is>
      </c>
      <c r="H35" t="inlineStr">
        <is>
          <t>Kyrkan</t>
        </is>
      </c>
      <c r="I35" t="n">
        <v>9.6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Plattlummer</t>
        </is>
      </c>
      <c r="W35">
        <f>HYPERLINK("https://klasma.github.io/Logging_2514/artfynd/A 32353-2026 artfynd.xlsx", "A 32353-2026")</f>
        <v/>
      </c>
      <c r="X35">
        <f>HYPERLINK("https://klasma.github.io/Logging_2514/kartor/A 32353-2026 karta.png", "A 32353-2026")</f>
        <v/>
      </c>
      <c r="Y35">
        <f>HYPERLINK("https://klasma.github.io/Logging_2514/kartor_geotiff/A 32353-2026 georefererad karta.tif", "A 32353-2026")</f>
        <v/>
      </c>
      <c r="AA35">
        <f>HYPERLINK("https://klasma.github.io/Logging_2514/klagomål/A 32353-2026 FSC-klagomål.docx", "A 32353-2026")</f>
        <v/>
      </c>
      <c r="AB35">
        <f>HYPERLINK("https://klasma.github.io/Logging_2514/klagomålsmail/A 32353-2026 FSC-klagomål mail.docx", "A 32353-2026")</f>
        <v/>
      </c>
      <c r="AC35">
        <f>HYPERLINK("https://klasma.github.io/Logging_2514/tillsyn/A 32353-2026 tillsynsbegäran.docx", "A 32353-2026")</f>
        <v/>
      </c>
      <c r="AD35">
        <f>HYPERLINK("https://klasma.github.io/Logging_2514/tillsynsmail/A 32353-2026 tillsynsbegäran mail.docx", "A 32353-2026")</f>
        <v/>
      </c>
    </row>
    <row r="36" ht="15" customHeight="1">
      <c r="A36" t="inlineStr">
        <is>
          <t>A 52902-2021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44467</v>
      </c>
      <c r="E36" s="1" t="n">
        <v>46250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4.9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Garnlav</t>
        </is>
      </c>
      <c r="W36">
        <f>HYPERLINK("https://klasma.github.io/Logging_2514/artfynd/A 52902-2021 artfynd.xlsx", "A 52902-2021")</f>
        <v/>
      </c>
      <c r="X36">
        <f>HYPERLINK("https://klasma.github.io/Logging_2514/kartor/A 52902-2021 karta.png", "A 52902-2021")</f>
        <v/>
      </c>
      <c r="Y36">
        <f>HYPERLINK("https://klasma.github.io/Logging_2514/kartor_geotiff/A 52902-2021 georefererad karta.tif", "A 52902-2021")</f>
        <v/>
      </c>
      <c r="AA36">
        <f>HYPERLINK("https://klasma.github.io/Logging_2514/klagomål/A 52902-2021 FSC-klagomål.docx", "A 52902-2021")</f>
        <v/>
      </c>
      <c r="AB36">
        <f>HYPERLINK("https://klasma.github.io/Logging_2514/klagomålsmail/A 52902-2021 FSC-klagomål mail.docx", "A 52902-2021")</f>
        <v/>
      </c>
      <c r="AC36">
        <f>HYPERLINK("https://klasma.github.io/Logging_2514/tillsyn/A 52902-2021 tillsynsbegäran.docx", "A 52902-2021")</f>
        <v/>
      </c>
      <c r="AD36">
        <f>HYPERLINK("https://klasma.github.io/Logging_2514/tillsynsmail/A 52902-2021 tillsynsbegäran mail.docx", "A 52902-2021")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46250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46250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46250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46250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47546-2022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46250</v>
      </c>
      <c r="F43" t="inlineStr">
        <is>
          <t>NORRBOTTENS LÄN</t>
        </is>
      </c>
      <c r="G43" t="inlineStr">
        <is>
          <t>KALIX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46250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46250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46250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46250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46250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46250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46250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46250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46250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46250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46250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46250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46250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46250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46250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46250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46250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46250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46250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46250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46250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44733</v>
      </c>
      <c r="E65" s="1" t="n">
        <v>46250</v>
      </c>
      <c r="F65" t="inlineStr">
        <is>
          <t>NORRBOTTENS LÄN</t>
        </is>
      </c>
      <c r="G65" t="inlineStr">
        <is>
          <t>KALIX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46250</v>
      </c>
      <c r="F66" t="inlineStr">
        <is>
          <t>NORRBOTTENS LÄN</t>
        </is>
      </c>
      <c r="G66" t="inlineStr">
        <is>
          <t>KALIX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46250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44785</v>
      </c>
      <c r="E68" s="1" t="n">
        <v>46250</v>
      </c>
      <c r="F68" t="inlineStr">
        <is>
          <t>NORRBOTTENS LÄN</t>
        </is>
      </c>
      <c r="G68" t="inlineStr">
        <is>
          <t>KALIX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46250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44833</v>
      </c>
      <c r="E70" s="1" t="n">
        <v>46250</v>
      </c>
      <c r="F70" t="inlineStr">
        <is>
          <t>NORRBOTTENS LÄN</t>
        </is>
      </c>
      <c r="G70" t="inlineStr">
        <is>
          <t>KALIX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45253</v>
      </c>
      <c r="E71" s="1" t="n">
        <v>46250</v>
      </c>
      <c r="F71" t="inlineStr">
        <is>
          <t>NORRBOTTENS LÄN</t>
        </is>
      </c>
      <c r="G71" t="inlineStr">
        <is>
          <t>KALIX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46250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69202-2021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46250</v>
      </c>
      <c r="F73" t="inlineStr">
        <is>
          <t>NORRBOTTENS LÄN</t>
        </is>
      </c>
      <c r="G73" t="inlineStr">
        <is>
          <t>KALIX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45261</v>
      </c>
      <c r="E74" s="1" t="n">
        <v>46250</v>
      </c>
      <c r="F74" t="inlineStr">
        <is>
          <t>NORRBOTTENS LÄN</t>
        </is>
      </c>
      <c r="G74" t="inlineStr">
        <is>
          <t>KALIX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44721</v>
      </c>
      <c r="E75" s="1" t="n">
        <v>46250</v>
      </c>
      <c r="F75" t="inlineStr">
        <is>
          <t>NORRBOTTENS LÄN</t>
        </is>
      </c>
      <c r="G75" t="inlineStr">
        <is>
          <t>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46250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45170</v>
      </c>
      <c r="E77" s="1" t="n">
        <v>46250</v>
      </c>
      <c r="F77" t="inlineStr">
        <is>
          <t>NORRBOTTENS LÄN</t>
        </is>
      </c>
      <c r="G77" t="inlineStr">
        <is>
          <t>KALIX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44522</v>
      </c>
      <c r="E78" s="1" t="n">
        <v>46250</v>
      </c>
      <c r="F78" t="inlineStr">
        <is>
          <t>NORRBOTTENS LÄN</t>
        </is>
      </c>
      <c r="G78" t="inlineStr">
        <is>
          <t>KALIX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45859</v>
      </c>
      <c r="E79" s="1" t="n">
        <v>46250</v>
      </c>
      <c r="F79" t="inlineStr">
        <is>
          <t>NORRBOTTENS LÄN</t>
        </is>
      </c>
      <c r="G79" t="inlineStr">
        <is>
          <t>KALIX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46250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46250</v>
      </c>
      <c r="F81" t="inlineStr">
        <is>
          <t>NORRBOTTENS LÄN</t>
        </is>
      </c>
      <c r="G81" t="inlineStr">
        <is>
          <t>KALIX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45314</v>
      </c>
      <c r="E82" s="1" t="n">
        <v>46250</v>
      </c>
      <c r="F82" t="inlineStr">
        <is>
          <t>NORRBOTTENS LÄN</t>
        </is>
      </c>
      <c r="G82" t="inlineStr">
        <is>
          <t>KALIX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45213</v>
      </c>
      <c r="E83" s="1" t="n">
        <v>46250</v>
      </c>
      <c r="F83" t="inlineStr">
        <is>
          <t>NORRBOTTENS LÄN</t>
        </is>
      </c>
      <c r="G83" t="inlineStr">
        <is>
          <t>KALIX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45238</v>
      </c>
      <c r="E84" s="1" t="n">
        <v>46250</v>
      </c>
      <c r="F84" t="inlineStr">
        <is>
          <t>NORRBOTTENS LÄN</t>
        </is>
      </c>
      <c r="G84" t="inlineStr">
        <is>
          <t>KALIX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57513-2023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45243</v>
      </c>
      <c r="E85" s="1" t="n">
        <v>46250</v>
      </c>
      <c r="F85" t="inlineStr">
        <is>
          <t>NORRBOTTENS LÄN</t>
        </is>
      </c>
      <c r="G85" t="inlineStr">
        <is>
          <t>KALIX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44907</v>
      </c>
      <c r="E86" s="1" t="n">
        <v>46250</v>
      </c>
      <c r="F86" t="inlineStr">
        <is>
          <t>NORRBOTTENS LÄN</t>
        </is>
      </c>
      <c r="G86" t="inlineStr">
        <is>
          <t>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63593-2021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46250</v>
      </c>
      <c r="F87" t="inlineStr">
        <is>
          <t>NORRBOTTENS LÄN</t>
        </is>
      </c>
      <c r="G87" t="inlineStr">
        <is>
          <t>KALIX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46250</v>
      </c>
      <c r="F88" t="inlineStr">
        <is>
          <t>NORRBOTTENS LÄN</t>
        </is>
      </c>
      <c r="G88" t="inlineStr">
        <is>
          <t>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44816</v>
      </c>
      <c r="E89" s="1" t="n">
        <v>46250</v>
      </c>
      <c r="F89" t="inlineStr">
        <is>
          <t>NORRBOTTENS LÄN</t>
        </is>
      </c>
      <c r="G89" t="inlineStr">
        <is>
          <t>KALIX</t>
        </is>
      </c>
      <c r="H89" t="inlineStr">
        <is>
          <t>Kommuner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46250</v>
      </c>
      <c r="F90" t="inlineStr">
        <is>
          <t>NORRBOTTENS LÄN</t>
        </is>
      </c>
      <c r="G90" t="inlineStr">
        <is>
          <t>KALIX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46250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46250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46250</v>
      </c>
      <c r="F93" t="inlineStr">
        <is>
          <t>NORRBOTTENS LÄN</t>
        </is>
      </c>
      <c r="G93" t="inlineStr">
        <is>
          <t>KALIX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46250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46250</v>
      </c>
      <c r="F95" t="inlineStr">
        <is>
          <t>NORRBOTTENS LÄN</t>
        </is>
      </c>
      <c r="G95" t="inlineStr">
        <is>
          <t>KALIX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46250</v>
      </c>
      <c r="F96" t="inlineStr">
        <is>
          <t>NORRBOTTENS LÄN</t>
        </is>
      </c>
      <c r="G96" t="inlineStr">
        <is>
          <t>KALIX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46250</v>
      </c>
      <c r="F97" t="inlineStr">
        <is>
          <t>NORRBOTTENS LÄN</t>
        </is>
      </c>
      <c r="G97" t="inlineStr">
        <is>
          <t>KALIX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46250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46250</v>
      </c>
      <c r="F99" t="inlineStr">
        <is>
          <t>NORRBOTTENS LÄN</t>
        </is>
      </c>
      <c r="G99" t="inlineStr">
        <is>
          <t>KALIX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46250</v>
      </c>
      <c r="F100" t="inlineStr">
        <is>
          <t>NORRBOTTENS LÄN</t>
        </is>
      </c>
      <c r="G100" t="inlineStr">
        <is>
          <t>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46250</v>
      </c>
      <c r="F101" t="inlineStr">
        <is>
          <t>NORRBOTTENS LÄN</t>
        </is>
      </c>
      <c r="G101" t="inlineStr">
        <is>
          <t>KALIX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46250</v>
      </c>
      <c r="F102" t="inlineStr">
        <is>
          <t>NORRBOTTENS LÄN</t>
        </is>
      </c>
      <c r="G102" t="inlineStr">
        <is>
          <t>KALIX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39959-2025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45892</v>
      </c>
      <c r="E103" s="1" t="n">
        <v>46250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66739-2021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44520</v>
      </c>
      <c r="E104" s="1" t="n">
        <v>46250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46250</v>
      </c>
      <c r="F105" t="inlineStr">
        <is>
          <t>NORRBOTTENS LÄN</t>
        </is>
      </c>
      <c r="G105" t="inlineStr">
        <is>
          <t>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46250</v>
      </c>
      <c r="F106" t="inlineStr">
        <is>
          <t>NORRBOTTENS LÄN</t>
        </is>
      </c>
      <c r="G106" t="inlineStr">
        <is>
          <t>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46250</v>
      </c>
      <c r="F107" t="inlineStr">
        <is>
          <t>NORRBOTTENS LÄN</t>
        </is>
      </c>
      <c r="G107" t="inlineStr">
        <is>
          <t>KALIX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46250</v>
      </c>
      <c r="F108" t="inlineStr">
        <is>
          <t>NORRBOTTENS LÄN</t>
        </is>
      </c>
      <c r="G108" t="inlineStr">
        <is>
          <t>KALIX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46250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45906</v>
      </c>
      <c r="E110" s="1" t="n">
        <v>46250</v>
      </c>
      <c r="F110" t="inlineStr">
        <is>
          <t>NORRBOTTENS LÄN</t>
        </is>
      </c>
      <c r="G110" t="inlineStr">
        <is>
          <t>KALIX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46250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46250</v>
      </c>
      <c r="F112" t="inlineStr">
        <is>
          <t>NORRBOTTENS LÄN</t>
        </is>
      </c>
      <c r="G112" t="inlineStr">
        <is>
          <t>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46250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46250</v>
      </c>
      <c r="F114" t="inlineStr">
        <is>
          <t>NORRBOTTENS LÄN</t>
        </is>
      </c>
      <c r="G114" t="inlineStr">
        <is>
          <t>KALIX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46250</v>
      </c>
      <c r="F115" t="inlineStr">
        <is>
          <t>NORRBOTTENS LÄN</t>
        </is>
      </c>
      <c r="G115" t="inlineStr">
        <is>
          <t>KALIX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44350-2025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45916</v>
      </c>
      <c r="E116" s="1" t="n">
        <v>46250</v>
      </c>
      <c r="F116" t="inlineStr">
        <is>
          <t>NORRBOTTENS LÄN</t>
        </is>
      </c>
      <c r="G116" t="inlineStr">
        <is>
          <t>KALIX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46250</v>
      </c>
      <c r="F117" t="inlineStr">
        <is>
          <t>NORRBOTTENS LÄN</t>
        </is>
      </c>
      <c r="G117" t="inlineStr">
        <is>
          <t>KALIX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46250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46250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46250</v>
      </c>
      <c r="F120" t="inlineStr">
        <is>
          <t>NORRBOTTENS LÄN</t>
        </is>
      </c>
      <c r="G120" t="inlineStr">
        <is>
          <t>KALIX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46250</v>
      </c>
      <c r="F121" t="inlineStr">
        <is>
          <t>NORRBOTTENS LÄN</t>
        </is>
      </c>
      <c r="G121" t="inlineStr">
        <is>
          <t>KALIX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46250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46250</v>
      </c>
      <c r="F123" t="inlineStr">
        <is>
          <t>NORRBOTTENS LÄN</t>
        </is>
      </c>
      <c r="G123" t="inlineStr">
        <is>
          <t>KALIX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46250</v>
      </c>
      <c r="F124" t="inlineStr">
        <is>
          <t>NORRBOTTENS LÄN</t>
        </is>
      </c>
      <c r="G124" t="inlineStr">
        <is>
          <t>KALIX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46250</v>
      </c>
      <c r="F125" t="inlineStr">
        <is>
          <t>NORRBOTTENS LÄN</t>
        </is>
      </c>
      <c r="G125" t="inlineStr">
        <is>
          <t>KALIX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46250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46250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46250</v>
      </c>
      <c r="F128" t="inlineStr">
        <is>
          <t>NORRBOTTENS LÄN</t>
        </is>
      </c>
      <c r="G128" t="inlineStr">
        <is>
          <t>KALIX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46250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46085</v>
      </c>
      <c r="E130" s="1" t="n">
        <v>46250</v>
      </c>
      <c r="F130" t="inlineStr">
        <is>
          <t>NORRBOTTENS LÄN</t>
        </is>
      </c>
      <c r="G130" t="inlineStr">
        <is>
          <t>KALIX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46250</v>
      </c>
      <c r="F131" t="inlineStr">
        <is>
          <t>NORRBOTTENS LÄN</t>
        </is>
      </c>
      <c r="G131" t="inlineStr">
        <is>
          <t>KALIX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46250</v>
      </c>
      <c r="F132" t="inlineStr">
        <is>
          <t>NORRBOTTENS LÄN</t>
        </is>
      </c>
      <c r="G132" t="inlineStr">
        <is>
          <t>KALIX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46250</v>
      </c>
      <c r="F133" t="inlineStr">
        <is>
          <t>NORRBOTTENS LÄN</t>
        </is>
      </c>
      <c r="G133" t="inlineStr">
        <is>
          <t>KALIX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45932</v>
      </c>
      <c r="E134" s="1" t="n">
        <v>46250</v>
      </c>
      <c r="F134" t="inlineStr">
        <is>
          <t>NORRBOTTENS LÄN</t>
        </is>
      </c>
      <c r="G134" t="inlineStr">
        <is>
          <t>KALIX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46250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46250</v>
      </c>
      <c r="F136" t="inlineStr">
        <is>
          <t>NORRBOTTENS LÄN</t>
        </is>
      </c>
      <c r="G136" t="inlineStr">
        <is>
          <t>KALIX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45251</v>
      </c>
      <c r="E137" s="1" t="n">
        <v>46250</v>
      </c>
      <c r="F137" t="inlineStr">
        <is>
          <t>NORRBOTTENS LÄN</t>
        </is>
      </c>
      <c r="G137" t="inlineStr">
        <is>
          <t>KALIX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46250</v>
      </c>
      <c r="F138" t="inlineStr">
        <is>
          <t>NORRBOTTENS LÄN</t>
        </is>
      </c>
      <c r="G138" t="inlineStr">
        <is>
          <t>KALIX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46250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46250</v>
      </c>
      <c r="F140" t="inlineStr">
        <is>
          <t>NORRBOTTENS LÄN</t>
        </is>
      </c>
      <c r="G140" t="inlineStr">
        <is>
          <t>KALIX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46250</v>
      </c>
      <c r="F141" t="inlineStr">
        <is>
          <t>NORRBOTTENS LÄN</t>
        </is>
      </c>
      <c r="G141" t="inlineStr">
        <is>
          <t>KALIX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46250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46250</v>
      </c>
      <c r="F143" t="inlineStr">
        <is>
          <t>NORRBOTTENS LÄN</t>
        </is>
      </c>
      <c r="G143" t="inlineStr">
        <is>
          <t>KALIX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46250</v>
      </c>
      <c r="F144" t="inlineStr">
        <is>
          <t>NORRBOTTENS LÄN</t>
        </is>
      </c>
      <c r="G144" t="inlineStr">
        <is>
          <t>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46250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46250</v>
      </c>
      <c r="F146" t="inlineStr">
        <is>
          <t>NORRBOTTENS LÄN</t>
        </is>
      </c>
      <c r="G146" t="inlineStr">
        <is>
          <t>KALIX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46250</v>
      </c>
      <c r="F147" t="inlineStr">
        <is>
          <t>NORRBOTTENS LÄN</t>
        </is>
      </c>
      <c r="G147" t="inlineStr">
        <is>
          <t>KALIX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46250</v>
      </c>
      <c r="F148" t="inlineStr">
        <is>
          <t>NORRBOTTENS LÄN</t>
        </is>
      </c>
      <c r="G148" t="inlineStr">
        <is>
          <t>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46250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46250</v>
      </c>
      <c r="F150" t="inlineStr">
        <is>
          <t>NORRBOTTENS LÄN</t>
        </is>
      </c>
      <c r="G150" t="inlineStr">
        <is>
          <t>KALIX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46250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46250</v>
      </c>
      <c r="F152" t="inlineStr">
        <is>
          <t>NORRBOTTENS LÄN</t>
        </is>
      </c>
      <c r="G152" t="inlineStr">
        <is>
          <t>KALIX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46250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45044</v>
      </c>
      <c r="E154" s="1" t="n">
        <v>46250</v>
      </c>
      <c r="F154" t="inlineStr">
        <is>
          <t>NORRBOTTENS LÄN</t>
        </is>
      </c>
      <c r="G154" t="inlineStr">
        <is>
          <t>KALIX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46250</v>
      </c>
      <c r="F155" t="inlineStr">
        <is>
          <t>NORRBOTTENS LÄN</t>
        </is>
      </c>
      <c r="G155" t="inlineStr">
        <is>
          <t>KALIX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46250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46250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46250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46250</v>
      </c>
      <c r="F159" t="inlineStr">
        <is>
          <t>NORRBOTTENS LÄN</t>
        </is>
      </c>
      <c r="G159" t="inlineStr">
        <is>
          <t>KALIX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46250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46250</v>
      </c>
      <c r="F161" t="inlineStr">
        <is>
          <t>NORRBOTTENS LÄN</t>
        </is>
      </c>
      <c r="G161" t="inlineStr">
        <is>
          <t>KALIX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46250</v>
      </c>
      <c r="F162" t="inlineStr">
        <is>
          <t>NORRBOTTENS LÄN</t>
        </is>
      </c>
      <c r="G162" t="inlineStr">
        <is>
          <t>KALIX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46250</v>
      </c>
      <c r="F163" t="inlineStr">
        <is>
          <t>NORRBOTTENS LÄN</t>
        </is>
      </c>
      <c r="G163" t="inlineStr">
        <is>
          <t>KALIX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46250</v>
      </c>
      <c r="F164" t="inlineStr">
        <is>
          <t>NORRBOTTENS LÄN</t>
        </is>
      </c>
      <c r="G164" t="inlineStr">
        <is>
          <t>KALIX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45943</v>
      </c>
      <c r="E165" s="1" t="n">
        <v>46250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46250</v>
      </c>
      <c r="F166" t="inlineStr">
        <is>
          <t>NORRBOTTENS LÄN</t>
        </is>
      </c>
      <c r="G166" t="inlineStr">
        <is>
          <t>KALIX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46250</v>
      </c>
      <c r="F167" t="inlineStr">
        <is>
          <t>NORRBOTTENS LÄN</t>
        </is>
      </c>
      <c r="G167" t="inlineStr">
        <is>
          <t>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46250</v>
      </c>
      <c r="F168" t="inlineStr">
        <is>
          <t>NORRBOTTENS LÄN</t>
        </is>
      </c>
      <c r="G168" t="inlineStr">
        <is>
          <t>KALIX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46250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46250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46250</v>
      </c>
      <c r="F171" t="inlineStr">
        <is>
          <t>NORRBOTTENS LÄN</t>
        </is>
      </c>
      <c r="G171" t="inlineStr">
        <is>
          <t>KALIX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46250</v>
      </c>
      <c r="F172" t="inlineStr">
        <is>
          <t>NORRBOTTENS LÄN</t>
        </is>
      </c>
      <c r="G172" t="inlineStr">
        <is>
          <t>KALIX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46097</v>
      </c>
      <c r="E173" s="1" t="n">
        <v>46250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46250</v>
      </c>
      <c r="F174" t="inlineStr">
        <is>
          <t>NORRBOTTENS LÄN</t>
        </is>
      </c>
      <c r="G174" t="inlineStr">
        <is>
          <t>KALIX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46250</v>
      </c>
      <c r="F175" t="inlineStr">
        <is>
          <t>NORRBOTTENS LÄN</t>
        </is>
      </c>
      <c r="G175" t="inlineStr">
        <is>
          <t>KALIX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46250</v>
      </c>
      <c r="F176" t="inlineStr">
        <is>
          <t>NORRBOTTENS LÄN</t>
        </is>
      </c>
      <c r="G176" t="inlineStr">
        <is>
          <t>KALIX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46250</v>
      </c>
      <c r="F177" t="inlineStr">
        <is>
          <t>NORRBOTTENS LÄN</t>
        </is>
      </c>
      <c r="G177" t="inlineStr">
        <is>
          <t>KALIX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46250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46752-2024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45583</v>
      </c>
      <c r="E179" s="1" t="n">
        <v>46250</v>
      </c>
      <c r="F179" t="inlineStr">
        <is>
          <t>NORRBOTTENS LÄN</t>
        </is>
      </c>
      <c r="G179" t="inlineStr">
        <is>
          <t>KALIX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46250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46250</v>
      </c>
      <c r="F181" t="inlineStr">
        <is>
          <t>NORRBOTTENS LÄN</t>
        </is>
      </c>
      <c r="G181" t="inlineStr">
        <is>
          <t>KALIX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46250</v>
      </c>
      <c r="F182" t="inlineStr">
        <is>
          <t>NORRBOTTENS LÄN</t>
        </is>
      </c>
      <c r="G182" t="inlineStr">
        <is>
          <t>KALIX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45931</v>
      </c>
      <c r="E183" s="1" t="n">
        <v>46250</v>
      </c>
      <c r="F183" t="inlineStr">
        <is>
          <t>NORRBOTTENS LÄN</t>
        </is>
      </c>
      <c r="G183" t="inlineStr">
        <is>
          <t>KALIX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46250</v>
      </c>
      <c r="F184" t="inlineStr">
        <is>
          <t>NORRBOTTENS LÄN</t>
        </is>
      </c>
      <c r="G184" t="inlineStr">
        <is>
          <t>KALIX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46250</v>
      </c>
      <c r="F185" t="inlineStr">
        <is>
          <t>NORRBOTTENS LÄN</t>
        </is>
      </c>
      <c r="G185" t="inlineStr">
        <is>
          <t>KALIX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46250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46250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46250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46250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46250</v>
      </c>
      <c r="F190" t="inlineStr">
        <is>
          <t>NORRBOTTENS LÄN</t>
        </is>
      </c>
      <c r="G190" t="inlineStr">
        <is>
          <t>KALIX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46250</v>
      </c>
      <c r="F191" t="inlineStr">
        <is>
          <t>NORRBOTTENS LÄN</t>
        </is>
      </c>
      <c r="G191" t="inlineStr">
        <is>
          <t>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46250</v>
      </c>
      <c r="F192" t="inlineStr">
        <is>
          <t>NORRBOTTENS LÄN</t>
        </is>
      </c>
      <c r="G192" t="inlineStr">
        <is>
          <t>KALIX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46250</v>
      </c>
      <c r="F193" t="inlineStr">
        <is>
          <t>NORRBOTTENS LÄN</t>
        </is>
      </c>
      <c r="G193" t="inlineStr">
        <is>
          <t>KALIX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46250</v>
      </c>
      <c r="F194" t="inlineStr">
        <is>
          <t>NORRBOTTENS LÄN</t>
        </is>
      </c>
      <c r="G194" t="inlineStr">
        <is>
          <t>KALIX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46250</v>
      </c>
      <c r="F195" t="inlineStr">
        <is>
          <t>NORRBOTTENS LÄN</t>
        </is>
      </c>
      <c r="G195" t="inlineStr">
        <is>
          <t>KALIX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46250</v>
      </c>
      <c r="F196" t="inlineStr">
        <is>
          <t>NORRBOTTENS LÄN</t>
        </is>
      </c>
      <c r="G196" t="inlineStr">
        <is>
          <t>KALIX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44970</v>
      </c>
      <c r="E197" s="1" t="n">
        <v>46250</v>
      </c>
      <c r="F197" t="inlineStr">
        <is>
          <t>NORRBOTTENS LÄN</t>
        </is>
      </c>
      <c r="G197" t="inlineStr">
        <is>
          <t>KALIX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46250</v>
      </c>
      <c r="F198" t="inlineStr">
        <is>
          <t>NORRBOTTENS LÄN</t>
        </is>
      </c>
      <c r="G198" t="inlineStr">
        <is>
          <t>KALIX</t>
        </is>
      </c>
      <c r="I198" t="n">
        <v>16.9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46250</v>
      </c>
      <c r="F199" t="inlineStr">
        <is>
          <t>NORRBOTTENS LÄN</t>
        </is>
      </c>
      <c r="G199" t="inlineStr">
        <is>
          <t>KALIX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46250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46250</v>
      </c>
      <c r="F201" t="inlineStr">
        <is>
          <t>NORRBOTTENS LÄN</t>
        </is>
      </c>
      <c r="G201" t="inlineStr">
        <is>
          <t>KALIX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45282</v>
      </c>
      <c r="E202" s="1" t="n">
        <v>46250</v>
      </c>
      <c r="F202" t="inlineStr">
        <is>
          <t>NORRBOTTENS LÄN</t>
        </is>
      </c>
      <c r="G202" t="inlineStr">
        <is>
          <t>KALIX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46250</v>
      </c>
      <c r="F203" t="inlineStr">
        <is>
          <t>NORRBOTTENS LÄN</t>
        </is>
      </c>
      <c r="G203" t="inlineStr">
        <is>
          <t>KALIX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45505</v>
      </c>
      <c r="E204" s="1" t="n">
        <v>46250</v>
      </c>
      <c r="F204" t="inlineStr">
        <is>
          <t>NORRBOTTENS LÄN</t>
        </is>
      </c>
      <c r="G204" t="inlineStr">
        <is>
          <t>KALIX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45964</v>
      </c>
      <c r="E205" s="1" t="n">
        <v>46250</v>
      </c>
      <c r="F205" t="inlineStr">
        <is>
          <t>NORRBOTTENS LÄN</t>
        </is>
      </c>
      <c r="G205" t="inlineStr">
        <is>
          <t>KALIX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46250</v>
      </c>
      <c r="F206" t="inlineStr">
        <is>
          <t>NORRBOTTENS LÄN</t>
        </is>
      </c>
      <c r="G206" t="inlineStr">
        <is>
          <t>KALIX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46250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46250</v>
      </c>
      <c r="F208" t="inlineStr">
        <is>
          <t>NORRBOTTENS LÄN</t>
        </is>
      </c>
      <c r="G208" t="inlineStr">
        <is>
          <t>KALIX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46250</v>
      </c>
      <c r="F209" t="inlineStr">
        <is>
          <t>NORRBOTTENS LÄN</t>
        </is>
      </c>
      <c r="G209" t="inlineStr">
        <is>
          <t>KALIX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46250</v>
      </c>
      <c r="F210" t="inlineStr">
        <is>
          <t>NORRBOTTENS LÄN</t>
        </is>
      </c>
      <c r="G210" t="inlineStr">
        <is>
          <t>KALIX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46250</v>
      </c>
      <c r="F211" t="inlineStr">
        <is>
          <t>NORRBOTTENS LÄN</t>
        </is>
      </c>
      <c r="G211" t="inlineStr">
        <is>
          <t>KALIX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46250</v>
      </c>
      <c r="F212" t="inlineStr">
        <is>
          <t>NORRBOTTENS LÄN</t>
        </is>
      </c>
      <c r="G212" t="inlineStr">
        <is>
          <t>KALIX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46250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46250</v>
      </c>
      <c r="F214" t="inlineStr">
        <is>
          <t>NORRBOTTENS LÄN</t>
        </is>
      </c>
      <c r="G214" t="inlineStr">
        <is>
          <t>KALIX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62135-2023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45266</v>
      </c>
      <c r="E215" s="1" t="n">
        <v>46250</v>
      </c>
      <c r="F215" t="inlineStr">
        <is>
          <t>NORRBOTTENS LÄN</t>
        </is>
      </c>
      <c r="G215" t="inlineStr">
        <is>
          <t>KALIX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46250</v>
      </c>
      <c r="F216" t="inlineStr">
        <is>
          <t>NORRBOTTENS LÄN</t>
        </is>
      </c>
      <c r="G216" t="inlineStr">
        <is>
          <t>KALIX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46250</v>
      </c>
      <c r="F217" t="inlineStr">
        <is>
          <t>NORRBOTTENS LÄN</t>
        </is>
      </c>
      <c r="G217" t="inlineStr">
        <is>
          <t>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46250</v>
      </c>
      <c r="F218" t="inlineStr">
        <is>
          <t>NORRBOTTENS LÄN</t>
        </is>
      </c>
      <c r="G218" t="inlineStr">
        <is>
          <t>KALIX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46250</v>
      </c>
      <c r="F219" t="inlineStr">
        <is>
          <t>NORRBOTTENS LÄN</t>
        </is>
      </c>
      <c r="G219" t="inlineStr">
        <is>
          <t>KALIX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46250</v>
      </c>
      <c r="F220" t="inlineStr">
        <is>
          <t>NORRBOTTENS LÄN</t>
        </is>
      </c>
      <c r="G220" t="inlineStr">
        <is>
          <t>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44903</v>
      </c>
      <c r="E221" s="1" t="n">
        <v>46250</v>
      </c>
      <c r="F221" t="inlineStr">
        <is>
          <t>NORRBOTTENS LÄN</t>
        </is>
      </c>
      <c r="G221" t="inlineStr">
        <is>
          <t>KALIX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46250</v>
      </c>
      <c r="F222" t="inlineStr">
        <is>
          <t>NORRBOTTENS LÄN</t>
        </is>
      </c>
      <c r="G222" t="inlineStr">
        <is>
          <t>KALIX</t>
        </is>
      </c>
      <c r="I222" t="n">
        <v>13.9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46250</v>
      </c>
      <c r="F223" t="inlineStr">
        <is>
          <t>NORRBOTTENS LÄN</t>
        </is>
      </c>
      <c r="G223" t="inlineStr">
        <is>
          <t>KALIX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46250</v>
      </c>
      <c r="F224" t="inlineStr">
        <is>
          <t>NORRBOTTENS LÄN</t>
        </is>
      </c>
      <c r="G224" t="inlineStr">
        <is>
          <t>KALIX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46250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46250</v>
      </c>
      <c r="F226" t="inlineStr">
        <is>
          <t>NORRBOTTENS LÄN</t>
        </is>
      </c>
      <c r="G226" t="inlineStr">
        <is>
          <t>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45492</v>
      </c>
      <c r="E227" s="1" t="n">
        <v>46250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44445</v>
      </c>
      <c r="E228" s="1" t="n">
        <v>46250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46250</v>
      </c>
      <c r="F229" t="inlineStr">
        <is>
          <t>NORRBOTTENS LÄN</t>
        </is>
      </c>
      <c r="G229" t="inlineStr">
        <is>
          <t>KALIX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45816</v>
      </c>
      <c r="E230" s="1" t="n">
        <v>46250</v>
      </c>
      <c r="F230" t="inlineStr">
        <is>
          <t>NORRBOTTENS LÄN</t>
        </is>
      </c>
      <c r="G230" t="inlineStr">
        <is>
          <t>KALIX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45415</v>
      </c>
      <c r="E231" s="1" t="n">
        <v>46250</v>
      </c>
      <c r="F231" t="inlineStr">
        <is>
          <t>NORRBOTTENS LÄN</t>
        </is>
      </c>
      <c r="G231" t="inlineStr">
        <is>
          <t>KALIX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46250</v>
      </c>
      <c r="F232" t="inlineStr">
        <is>
          <t>NORRBOTTENS LÄN</t>
        </is>
      </c>
      <c r="G232" t="inlineStr">
        <is>
          <t>KALIX</t>
        </is>
      </c>
      <c r="I232" t="n">
        <v>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46250</v>
      </c>
      <c r="F233" t="inlineStr">
        <is>
          <t>NORRBOTTENS LÄN</t>
        </is>
      </c>
      <c r="G233" t="inlineStr">
        <is>
          <t>KALIX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46250</v>
      </c>
      <c r="F234" t="inlineStr">
        <is>
          <t>NORRBOTTENS LÄN</t>
        </is>
      </c>
      <c r="G234" t="inlineStr">
        <is>
          <t>KALIX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46250</v>
      </c>
      <c r="F235" t="inlineStr">
        <is>
          <t>NORRBOTTENS LÄN</t>
        </is>
      </c>
      <c r="G235" t="inlineStr">
        <is>
          <t>KALIX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46250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46250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46250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46250</v>
      </c>
      <c r="F239" t="inlineStr">
        <is>
          <t>NORRBOTTENS LÄN</t>
        </is>
      </c>
      <c r="G239" t="inlineStr">
        <is>
          <t>KALIX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46250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46250</v>
      </c>
      <c r="F241" t="inlineStr">
        <is>
          <t>NORRBOTTENS LÄN</t>
        </is>
      </c>
      <c r="G241" t="inlineStr">
        <is>
          <t>KALIX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46250</v>
      </c>
      <c r="F242" t="inlineStr">
        <is>
          <t>NORRBOTTENS LÄN</t>
        </is>
      </c>
      <c r="G242" t="inlineStr">
        <is>
          <t>KALIX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46250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46250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46250</v>
      </c>
      <c r="F245" t="inlineStr">
        <is>
          <t>NORRBOTTENS LÄN</t>
        </is>
      </c>
      <c r="G245" t="inlineStr">
        <is>
          <t>KALIX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46250</v>
      </c>
      <c r="F246" t="inlineStr">
        <is>
          <t>NORRBOTTENS LÄN</t>
        </is>
      </c>
      <c r="G246" t="inlineStr">
        <is>
          <t>KALIX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46250</v>
      </c>
      <c r="F247" t="inlineStr">
        <is>
          <t>NORRBOTTENS LÄN</t>
        </is>
      </c>
      <c r="G247" t="inlineStr">
        <is>
          <t>KALIX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46250</v>
      </c>
      <c r="F248" t="inlineStr">
        <is>
          <t>NORRBOTTENS LÄN</t>
        </is>
      </c>
      <c r="G248" t="inlineStr">
        <is>
          <t>KALIX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46250</v>
      </c>
      <c r="F249" t="inlineStr">
        <is>
          <t>NORRBOTTENS LÄN</t>
        </is>
      </c>
      <c r="G249" t="inlineStr">
        <is>
          <t>KALIX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46250</v>
      </c>
      <c r="F250" t="inlineStr">
        <is>
          <t>NORRBOTTENS LÄN</t>
        </is>
      </c>
      <c r="G250" t="inlineStr">
        <is>
          <t>KALIX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46250</v>
      </c>
      <c r="F251" t="inlineStr">
        <is>
          <t>NORRBOTTENS LÄN</t>
        </is>
      </c>
      <c r="G251" t="inlineStr">
        <is>
          <t>KALIX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46250</v>
      </c>
      <c r="F252" t="inlineStr">
        <is>
          <t>NORRBOTTENS LÄN</t>
        </is>
      </c>
      <c r="G252" t="inlineStr">
        <is>
          <t>KALIX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46250</v>
      </c>
      <c r="F253" t="inlineStr">
        <is>
          <t>NORRBOTTENS LÄN</t>
        </is>
      </c>
      <c r="G253" t="inlineStr">
        <is>
          <t>KALIX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46250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64907-2021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44512</v>
      </c>
      <c r="E255" s="1" t="n">
        <v>46250</v>
      </c>
      <c r="F255" t="inlineStr">
        <is>
          <t>NORRBOTTENS LÄN</t>
        </is>
      </c>
      <c r="G255" t="inlineStr">
        <is>
          <t>KALIX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46250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46250</v>
      </c>
      <c r="F257" t="inlineStr">
        <is>
          <t>NORRBOTTENS LÄN</t>
        </is>
      </c>
      <c r="G257" t="inlineStr">
        <is>
          <t>KALIX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46250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46250</v>
      </c>
      <c r="F259" t="inlineStr">
        <is>
          <t>NORRBOTTENS LÄN</t>
        </is>
      </c>
      <c r="G259" t="inlineStr">
        <is>
          <t>KALIX</t>
        </is>
      </c>
      <c r="I259" t="n">
        <v>13.8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46250</v>
      </c>
      <c r="F260" t="inlineStr">
        <is>
          <t>NORRBOTTENS LÄN</t>
        </is>
      </c>
      <c r="G260" t="inlineStr">
        <is>
          <t>KALIX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46250</v>
      </c>
      <c r="F261" t="inlineStr">
        <is>
          <t>NORRBOTTENS LÄN</t>
        </is>
      </c>
      <c r="G261" t="inlineStr">
        <is>
          <t>KALIX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46250</v>
      </c>
      <c r="F262" t="inlineStr">
        <is>
          <t>NORRBOTTENS LÄN</t>
        </is>
      </c>
      <c r="G262" t="inlineStr">
        <is>
          <t>KALIX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46250</v>
      </c>
      <c r="F263" t="inlineStr">
        <is>
          <t>NORRBOTTENS LÄN</t>
        </is>
      </c>
      <c r="G263" t="inlineStr">
        <is>
          <t>KALIX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46250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46250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46250</v>
      </c>
      <c r="F266" t="inlineStr">
        <is>
          <t>NORRBOTTENS LÄN</t>
        </is>
      </c>
      <c r="G266" t="inlineStr">
        <is>
          <t>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46250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46250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46250</v>
      </c>
      <c r="F269" t="inlineStr">
        <is>
          <t>NORRBOTTENS LÄN</t>
        </is>
      </c>
      <c r="G269" t="inlineStr">
        <is>
          <t>KALIX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46250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46250</v>
      </c>
      <c r="F271" t="inlineStr">
        <is>
          <t>NORRBOTTENS LÄN</t>
        </is>
      </c>
      <c r="G271" t="inlineStr">
        <is>
          <t>KALIX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46250</v>
      </c>
      <c r="F272" t="inlineStr">
        <is>
          <t>NORRBOTTENS LÄN</t>
        </is>
      </c>
      <c r="G272" t="inlineStr">
        <is>
          <t>KALIX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46250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57117-2024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45629</v>
      </c>
      <c r="E274" s="1" t="n">
        <v>46250</v>
      </c>
      <c r="F274" t="inlineStr">
        <is>
          <t>NORRBOTTENS LÄN</t>
        </is>
      </c>
      <c r="G274" t="inlineStr">
        <is>
          <t>KALIX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46250</v>
      </c>
      <c r="F275" t="inlineStr">
        <is>
          <t>NORRBOTTENS LÄN</t>
        </is>
      </c>
      <c r="G275" t="inlineStr">
        <is>
          <t>KALIX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46250</v>
      </c>
      <c r="F276" t="inlineStr">
        <is>
          <t>NORRBOTTENS LÄN</t>
        </is>
      </c>
      <c r="G276" t="inlineStr">
        <is>
          <t>KALIX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46250</v>
      </c>
      <c r="F277" t="inlineStr">
        <is>
          <t>NORRBOTTENS LÄN</t>
        </is>
      </c>
      <c r="G277" t="inlineStr">
        <is>
          <t>KALIX</t>
        </is>
      </c>
      <c r="H277" t="inlineStr">
        <is>
          <t>Kommuner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25019-2024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45461</v>
      </c>
      <c r="E278" s="1" t="n">
        <v>46250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46250</v>
      </c>
      <c r="F279" t="inlineStr">
        <is>
          <t>NORRBOTTENS LÄN</t>
        </is>
      </c>
      <c r="G279" t="inlineStr">
        <is>
          <t>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46250</v>
      </c>
      <c r="F280" t="inlineStr">
        <is>
          <t>NORRBOTTENS LÄN</t>
        </is>
      </c>
      <c r="G280" t="inlineStr">
        <is>
          <t>KALIX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46013</v>
      </c>
      <c r="E281" s="1" t="n">
        <v>46250</v>
      </c>
      <c r="F281" t="inlineStr">
        <is>
          <t>NORRBOTTENS LÄN</t>
        </is>
      </c>
      <c r="G281" t="inlineStr">
        <is>
          <t>KALIX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46250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46250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46250</v>
      </c>
      <c r="F284" t="inlineStr">
        <is>
          <t>NORRBOTTENS LÄN</t>
        </is>
      </c>
      <c r="G284" t="inlineStr">
        <is>
          <t>KALIX</t>
        </is>
      </c>
      <c r="I284" t="n">
        <v>13.9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46250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46250</v>
      </c>
      <c r="F286" t="inlineStr">
        <is>
          <t>NORRBOTTENS LÄN</t>
        </is>
      </c>
      <c r="G286" t="inlineStr">
        <is>
          <t>KALIX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46250</v>
      </c>
      <c r="F287" t="inlineStr">
        <is>
          <t>NORRBOTTENS LÄN</t>
        </is>
      </c>
      <c r="G287" t="inlineStr">
        <is>
          <t>KALIX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46250</v>
      </c>
      <c r="F288" t="inlineStr">
        <is>
          <t>NORRBOTTENS LÄN</t>
        </is>
      </c>
      <c r="G288" t="inlineStr">
        <is>
          <t>KALIX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46021</v>
      </c>
      <c r="E289" s="1" t="n">
        <v>46250</v>
      </c>
      <c r="F289" t="inlineStr">
        <is>
          <t>NORRBOTTENS LÄN</t>
        </is>
      </c>
      <c r="G289" t="inlineStr">
        <is>
          <t>KALIX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54296-2024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45617</v>
      </c>
      <c r="E290" s="1" t="n">
        <v>46250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45723</v>
      </c>
      <c r="E291" s="1" t="n">
        <v>46250</v>
      </c>
      <c r="F291" t="inlineStr">
        <is>
          <t>NORRBOTTENS LÄN</t>
        </is>
      </c>
      <c r="G291" t="inlineStr">
        <is>
          <t>KALIX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46250</v>
      </c>
      <c r="F292" t="inlineStr">
        <is>
          <t>NORRBOTTENS LÄN</t>
        </is>
      </c>
      <c r="G292" t="inlineStr">
        <is>
          <t>KALIX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46250</v>
      </c>
      <c r="F293" t="inlineStr">
        <is>
          <t>NORRBOTTENS LÄN</t>
        </is>
      </c>
      <c r="G293" t="inlineStr">
        <is>
          <t>KALIX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46250</v>
      </c>
      <c r="F294" t="inlineStr">
        <is>
          <t>NORRBOTTENS LÄN</t>
        </is>
      </c>
      <c r="G294" t="inlineStr">
        <is>
          <t>KALIX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46250</v>
      </c>
      <c r="F295" t="inlineStr">
        <is>
          <t>NORRBOTTENS LÄN</t>
        </is>
      </c>
      <c r="G295" t="inlineStr">
        <is>
          <t>KALIX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46250</v>
      </c>
      <c r="F296" t="inlineStr">
        <is>
          <t>NORRBOTTENS LÄN</t>
        </is>
      </c>
      <c r="G296" t="inlineStr">
        <is>
          <t>KALIX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46250</v>
      </c>
      <c r="F297" t="inlineStr">
        <is>
          <t>NORRBOTTENS LÄN</t>
        </is>
      </c>
      <c r="G297" t="inlineStr">
        <is>
          <t>KALIX</t>
        </is>
      </c>
      <c r="I297" t="n">
        <v>12.1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46250</v>
      </c>
      <c r="F298" t="inlineStr">
        <is>
          <t>NORRBOTTENS LÄN</t>
        </is>
      </c>
      <c r="G298" t="inlineStr">
        <is>
          <t>KALIX</t>
        </is>
      </c>
      <c r="I298" t="n">
        <v>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46250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22180-2022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46250</v>
      </c>
      <c r="F300" t="inlineStr">
        <is>
          <t>NORRBOTTENS LÄN</t>
        </is>
      </c>
      <c r="G300" t="inlineStr">
        <is>
          <t>KALIX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46250</v>
      </c>
      <c r="F301" t="inlineStr">
        <is>
          <t>NORRBOTTENS LÄN</t>
        </is>
      </c>
      <c r="G301" t="inlineStr">
        <is>
          <t>KALIX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46250</v>
      </c>
      <c r="F302" t="inlineStr">
        <is>
          <t>NORRBOTTENS LÄN</t>
        </is>
      </c>
      <c r="G302" t="inlineStr">
        <is>
          <t>KALIX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46250</v>
      </c>
      <c r="F303" t="inlineStr">
        <is>
          <t>NORRBOTTENS LÄN</t>
        </is>
      </c>
      <c r="G303" t="inlineStr">
        <is>
          <t>KALIX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46250</v>
      </c>
      <c r="F304" t="inlineStr">
        <is>
          <t>NORRBOTTENS LÄN</t>
        </is>
      </c>
      <c r="G304" t="inlineStr">
        <is>
          <t>KALIX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46250</v>
      </c>
      <c r="F305" t="inlineStr">
        <is>
          <t>NORRBOTTENS LÄN</t>
        </is>
      </c>
      <c r="G305" t="inlineStr">
        <is>
          <t>KALIX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46250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46250</v>
      </c>
      <c r="F307" t="inlineStr">
        <is>
          <t>NORRBOTTENS LÄN</t>
        </is>
      </c>
      <c r="G307" t="inlineStr">
        <is>
          <t>KALIX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46250</v>
      </c>
      <c r="F308" t="inlineStr">
        <is>
          <t>NORRBOTTENS LÄN</t>
        </is>
      </c>
      <c r="G308" t="inlineStr">
        <is>
          <t>KALIX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45112</v>
      </c>
      <c r="E309" s="1" t="n">
        <v>46250</v>
      </c>
      <c r="F309" t="inlineStr">
        <is>
          <t>NORRBOTTENS LÄN</t>
        </is>
      </c>
      <c r="G309" t="inlineStr">
        <is>
          <t>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22480-2024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45446</v>
      </c>
      <c r="E310" s="1" t="n">
        <v>46250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46250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46250</v>
      </c>
      <c r="F312" t="inlineStr">
        <is>
          <t>NORRBOTTENS LÄN</t>
        </is>
      </c>
      <c r="G312" t="inlineStr">
        <is>
          <t>KALIX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46250</v>
      </c>
      <c r="F313" t="inlineStr">
        <is>
          <t>NORRBOTTENS LÄN</t>
        </is>
      </c>
      <c r="G313" t="inlineStr">
        <is>
          <t>KALIX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45641</v>
      </c>
      <c r="E314" s="1" t="n">
        <v>46250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45145</v>
      </c>
      <c r="E315" s="1" t="n">
        <v>46250</v>
      </c>
      <c r="F315" t="inlineStr">
        <is>
          <t>NORRBOTTENS LÄN</t>
        </is>
      </c>
      <c r="G315" t="inlineStr">
        <is>
          <t>KALIX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46250</v>
      </c>
      <c r="F316" t="inlineStr">
        <is>
          <t>NORRBOTTENS LÄN</t>
        </is>
      </c>
      <c r="G316" t="inlineStr">
        <is>
          <t>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46250</v>
      </c>
      <c r="F317" t="inlineStr">
        <is>
          <t>NORRBOTTENS LÄN</t>
        </is>
      </c>
      <c r="G317" t="inlineStr">
        <is>
          <t>KALIX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46250</v>
      </c>
      <c r="F318" t="inlineStr">
        <is>
          <t>NORRBOTTENS LÄN</t>
        </is>
      </c>
      <c r="G318" t="inlineStr">
        <is>
          <t>KALIX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46250</v>
      </c>
      <c r="F319" t="inlineStr">
        <is>
          <t>NORRBOTTENS LÄN</t>
        </is>
      </c>
      <c r="G319" t="inlineStr">
        <is>
          <t>KALIX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46250</v>
      </c>
      <c r="F320" t="inlineStr">
        <is>
          <t>NORRBOTTENS LÄN</t>
        </is>
      </c>
      <c r="G320" t="inlineStr">
        <is>
          <t>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46250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46250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45175</v>
      </c>
      <c r="E323" s="1" t="n">
        <v>46250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46250</v>
      </c>
      <c r="F324" t="inlineStr">
        <is>
          <t>NORRBOTTENS LÄN</t>
        </is>
      </c>
      <c r="G324" t="inlineStr">
        <is>
          <t>KALIX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46250</v>
      </c>
      <c r="F325" t="inlineStr">
        <is>
          <t>NORRBOTTENS LÄN</t>
        </is>
      </c>
      <c r="G325" t="inlineStr">
        <is>
          <t>KALIX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46250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46250</v>
      </c>
      <c r="F327" t="inlineStr">
        <is>
          <t>NORRBOTTENS LÄN</t>
        </is>
      </c>
      <c r="G327" t="inlineStr">
        <is>
          <t>KALIX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46250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46250</v>
      </c>
      <c r="F329" t="inlineStr">
        <is>
          <t>NORRBOTTENS LÄN</t>
        </is>
      </c>
      <c r="G329" t="inlineStr">
        <is>
          <t>KALIX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46250</v>
      </c>
      <c r="F330" t="inlineStr">
        <is>
          <t>NORRBOTTENS LÄN</t>
        </is>
      </c>
      <c r="G330" t="inlineStr">
        <is>
          <t>KALIX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46250</v>
      </c>
      <c r="F331" t="inlineStr">
        <is>
          <t>NORRBOTTENS LÄN</t>
        </is>
      </c>
      <c r="G331" t="inlineStr">
        <is>
          <t>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46250</v>
      </c>
      <c r="F332" t="inlineStr">
        <is>
          <t>NORRBOTTENS LÄN</t>
        </is>
      </c>
      <c r="G332" t="inlineStr">
        <is>
          <t>KALIX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46250</v>
      </c>
      <c r="F333" t="inlineStr">
        <is>
          <t>NORRBOTTENS LÄN</t>
        </is>
      </c>
      <c r="G333" t="inlineStr">
        <is>
          <t>KALIX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46250</v>
      </c>
      <c r="F334" t="inlineStr">
        <is>
          <t>NORRBOTTENS LÄN</t>
        </is>
      </c>
      <c r="G334" t="inlineStr">
        <is>
          <t>KALIX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46250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46250</v>
      </c>
      <c r="F336" t="inlineStr">
        <is>
          <t>NORRBOTTENS LÄN</t>
        </is>
      </c>
      <c r="G336" t="inlineStr">
        <is>
          <t>KALIX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46250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46250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46250</v>
      </c>
      <c r="F339" t="inlineStr">
        <is>
          <t>NORRBOTTENS LÄN</t>
        </is>
      </c>
      <c r="G339" t="inlineStr">
        <is>
          <t>KALIX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46250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44894</v>
      </c>
      <c r="E341" s="1" t="n">
        <v>46250</v>
      </c>
      <c r="F341" t="inlineStr">
        <is>
          <t>NORRBOTTENS LÄN</t>
        </is>
      </c>
      <c r="G341" t="inlineStr">
        <is>
          <t>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46250</v>
      </c>
      <c r="F342" t="inlineStr">
        <is>
          <t>NORRBOTTENS LÄN</t>
        </is>
      </c>
      <c r="G342" t="inlineStr">
        <is>
          <t>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9193-2026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46070</v>
      </c>
      <c r="E343" s="1" t="n">
        <v>46250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46250</v>
      </c>
      <c r="F344" t="inlineStr">
        <is>
          <t>NORRBOTTENS LÄN</t>
        </is>
      </c>
      <c r="G344" t="inlineStr">
        <is>
          <t>KALIX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46250</v>
      </c>
      <c r="F345" t="inlineStr">
        <is>
          <t>NORRBOTTENS LÄN</t>
        </is>
      </c>
      <c r="G345" t="inlineStr">
        <is>
          <t>KALIX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45364</v>
      </c>
      <c r="E346" s="1" t="n">
        <v>46250</v>
      </c>
      <c r="F346" t="inlineStr">
        <is>
          <t>NORRBOTTENS LÄN</t>
        </is>
      </c>
      <c r="G346" t="inlineStr">
        <is>
          <t>KALIX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45105</v>
      </c>
      <c r="E347" s="1" t="n">
        <v>46250</v>
      </c>
      <c r="F347" t="inlineStr">
        <is>
          <t>NORRBOTTENS LÄN</t>
        </is>
      </c>
      <c r="G347" t="inlineStr">
        <is>
          <t>KALIX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46250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57860-2022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44898</v>
      </c>
      <c r="E349" s="1" t="n">
        <v>46250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44488</v>
      </c>
      <c r="E350" s="1" t="n">
        <v>46250</v>
      </c>
      <c r="F350" t="inlineStr">
        <is>
          <t>NORRBOTTENS LÄN</t>
        </is>
      </c>
      <c r="G350" t="inlineStr">
        <is>
          <t>KALIX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45054</v>
      </c>
      <c r="E351" s="1" t="n">
        <v>46250</v>
      </c>
      <c r="F351" t="inlineStr">
        <is>
          <t>NORRBOTTENS LÄN</t>
        </is>
      </c>
      <c r="G351" t="inlineStr">
        <is>
          <t>KALIX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46250</v>
      </c>
      <c r="F352" t="inlineStr">
        <is>
          <t>NORRBOTTENS LÄN</t>
        </is>
      </c>
      <c r="G352" t="inlineStr">
        <is>
          <t>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46250</v>
      </c>
      <c r="F353" t="inlineStr">
        <is>
          <t>NORRBOTTENS LÄN</t>
        </is>
      </c>
      <c r="G353" t="inlineStr">
        <is>
          <t>KALIX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46250</v>
      </c>
      <c r="F354" t="inlineStr">
        <is>
          <t>NORRBOTTENS LÄN</t>
        </is>
      </c>
      <c r="G354" t="inlineStr">
        <is>
          <t>KALIX</t>
        </is>
      </c>
      <c r="I354" t="n">
        <v>17.7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44733</v>
      </c>
      <c r="E355" s="1" t="n">
        <v>46250</v>
      </c>
      <c r="F355" t="inlineStr">
        <is>
          <t>NORRBOTTENS LÄN</t>
        </is>
      </c>
      <c r="G355" t="inlineStr">
        <is>
          <t>KALIX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46250</v>
      </c>
      <c r="F356" t="inlineStr">
        <is>
          <t>NORRBOTTENS LÄN</t>
        </is>
      </c>
      <c r="G356" t="inlineStr">
        <is>
          <t>KALIX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46250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46250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46250</v>
      </c>
      <c r="F359" t="inlineStr">
        <is>
          <t>NORRBOTTENS LÄN</t>
        </is>
      </c>
      <c r="G359" t="inlineStr">
        <is>
          <t>KALIX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46250</v>
      </c>
      <c r="F360" t="inlineStr">
        <is>
          <t>NORRBOTTENS LÄN</t>
        </is>
      </c>
      <c r="G360" t="inlineStr">
        <is>
          <t>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46250</v>
      </c>
      <c r="F361" t="inlineStr">
        <is>
          <t>NORRBOTTENS LÄN</t>
        </is>
      </c>
      <c r="G361" t="inlineStr">
        <is>
          <t>KALIX</t>
        </is>
      </c>
      <c r="I361" t="n">
        <v>17.4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46250</v>
      </c>
      <c r="F362" t="inlineStr">
        <is>
          <t>NORRBOTTENS LÄN</t>
        </is>
      </c>
      <c r="G362" t="inlineStr">
        <is>
          <t>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46187-2021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44442</v>
      </c>
      <c r="E363" s="1" t="n">
        <v>46250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46250</v>
      </c>
      <c r="F364" t="inlineStr">
        <is>
          <t>NORRBOTTENS LÄN</t>
        </is>
      </c>
      <c r="G364" t="inlineStr">
        <is>
          <t>KALIX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46250</v>
      </c>
      <c r="F365" t="inlineStr">
        <is>
          <t>NORRBOTTENS LÄN</t>
        </is>
      </c>
      <c r="G365" t="inlineStr">
        <is>
          <t>KALIX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46250</v>
      </c>
      <c r="F366" t="inlineStr">
        <is>
          <t>NORRBOTTENS LÄN</t>
        </is>
      </c>
      <c r="G366" t="inlineStr">
        <is>
          <t>KALIX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46250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58999-2023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45225</v>
      </c>
      <c r="E368" s="1" t="n">
        <v>46250</v>
      </c>
      <c r="F368" t="inlineStr">
        <is>
          <t>NORRBOTTENS LÄN</t>
        </is>
      </c>
      <c r="G368" t="inlineStr">
        <is>
          <t>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46250</v>
      </c>
      <c r="F369" t="inlineStr">
        <is>
          <t>NORRBOTTENS LÄN</t>
        </is>
      </c>
      <c r="G369" t="inlineStr">
        <is>
          <t>KALIX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46250</v>
      </c>
      <c r="F370" t="inlineStr">
        <is>
          <t>NORRBOTTENS LÄN</t>
        </is>
      </c>
      <c r="G370" t="inlineStr">
        <is>
          <t>KALIX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10547-2026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46077</v>
      </c>
      <c r="E371" s="1" t="n">
        <v>46250</v>
      </c>
      <c r="F371" t="inlineStr">
        <is>
          <t>NORRBOTTENS LÄN</t>
        </is>
      </c>
      <c r="G371" t="inlineStr">
        <is>
          <t>KALIX</t>
        </is>
      </c>
      <c r="I371" t="n">
        <v>16.5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46250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46250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46250</v>
      </c>
      <c r="F374" t="inlineStr">
        <is>
          <t>NORRBOTTENS LÄN</t>
        </is>
      </c>
      <c r="G374" t="inlineStr">
        <is>
          <t>KALIX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46250</v>
      </c>
      <c r="F375" t="inlineStr">
        <is>
          <t>NORRBOTTENS LÄN</t>
        </is>
      </c>
      <c r="G375" t="inlineStr">
        <is>
          <t>KALIX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46250</v>
      </c>
      <c r="F376" t="inlineStr">
        <is>
          <t>NORRBOTTENS LÄN</t>
        </is>
      </c>
      <c r="G376" t="inlineStr">
        <is>
          <t>KALIX</t>
        </is>
      </c>
      <c r="H376" t="inlineStr">
        <is>
          <t>Sveaskog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46250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46250</v>
      </c>
      <c r="F378" t="inlineStr">
        <is>
          <t>NORRBOTTENS LÄN</t>
        </is>
      </c>
      <c r="G378" t="inlineStr">
        <is>
          <t>KALIX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46250</v>
      </c>
      <c r="F379" t="inlineStr">
        <is>
          <t>NORRBOTTENS LÄN</t>
        </is>
      </c>
      <c r="G379" t="inlineStr">
        <is>
          <t>KALIX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46250</v>
      </c>
      <c r="F380" t="inlineStr">
        <is>
          <t>NORRBOTTENS LÄN</t>
        </is>
      </c>
      <c r="G380" t="inlineStr">
        <is>
          <t>KALIX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21574-2023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46250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46250</v>
      </c>
      <c r="F382" t="inlineStr">
        <is>
          <t>NORRBOTTENS LÄN</t>
        </is>
      </c>
      <c r="G382" t="inlineStr">
        <is>
          <t>KALIX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46250</v>
      </c>
      <c r="F383" t="inlineStr">
        <is>
          <t>NORRBOTTENS LÄN</t>
        </is>
      </c>
      <c r="G383" t="inlineStr">
        <is>
          <t>KALIX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45641</v>
      </c>
      <c r="E384" s="1" t="n">
        <v>46250</v>
      </c>
      <c r="F384" t="inlineStr">
        <is>
          <t>NORRBOTTENS LÄN</t>
        </is>
      </c>
      <c r="G384" t="inlineStr">
        <is>
          <t>KALIX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45237</v>
      </c>
      <c r="E385" s="1" t="n">
        <v>46250</v>
      </c>
      <c r="F385" t="inlineStr">
        <is>
          <t>NORRBOTTENS LÄN</t>
        </is>
      </c>
      <c r="G385" t="inlineStr">
        <is>
          <t>KALIX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45173</v>
      </c>
      <c r="E386" s="1" t="n">
        <v>46250</v>
      </c>
      <c r="F386" t="inlineStr">
        <is>
          <t>NORRBOTTENS LÄN</t>
        </is>
      </c>
      <c r="G386" t="inlineStr">
        <is>
          <t>KALIX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21169-2026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46146</v>
      </c>
      <c r="E387" s="1" t="n">
        <v>46250</v>
      </c>
      <c r="F387" t="inlineStr">
        <is>
          <t>NORRBOTTENS LÄN</t>
        </is>
      </c>
      <c r="G387" t="inlineStr">
        <is>
          <t>KALIX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46250</v>
      </c>
      <c r="F388" t="inlineStr">
        <is>
          <t>NORRBOTTENS LÄN</t>
        </is>
      </c>
      <c r="G388" t="inlineStr">
        <is>
          <t>KALIX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46250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45058</v>
      </c>
      <c r="E390" s="1" t="n">
        <v>46250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46250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46250</v>
      </c>
      <c r="F392" t="inlineStr">
        <is>
          <t>NORRBOTTENS LÄN</t>
        </is>
      </c>
      <c r="G392" t="inlineStr">
        <is>
          <t>KALIX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45295</v>
      </c>
      <c r="E393" s="1" t="n">
        <v>46250</v>
      </c>
      <c r="F393" t="inlineStr">
        <is>
          <t>NORRBOTTENS LÄN</t>
        </is>
      </c>
      <c r="G393" t="inlineStr">
        <is>
          <t>KALIX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45406</v>
      </c>
      <c r="E394" s="1" t="n">
        <v>46250</v>
      </c>
      <c r="F394" t="inlineStr">
        <is>
          <t>NORRBOTTENS LÄN</t>
        </is>
      </c>
      <c r="G394" t="inlineStr">
        <is>
          <t>KALIX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45542</v>
      </c>
      <c r="E395" s="1" t="n">
        <v>46250</v>
      </c>
      <c r="F395" t="inlineStr">
        <is>
          <t>NORRBOTTENS LÄN</t>
        </is>
      </c>
      <c r="G395" t="inlineStr">
        <is>
          <t>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46081</v>
      </c>
      <c r="E396" s="1" t="n">
        <v>46250</v>
      </c>
      <c r="F396" t="inlineStr">
        <is>
          <t>NORRBOTTENS LÄN</t>
        </is>
      </c>
      <c r="G396" t="inlineStr">
        <is>
          <t>KALIX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46250</v>
      </c>
      <c r="F397" t="inlineStr">
        <is>
          <t>NORRBOTTENS LÄN</t>
        </is>
      </c>
      <c r="G397" t="inlineStr">
        <is>
          <t>KALIX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46250</v>
      </c>
      <c r="F398" t="inlineStr">
        <is>
          <t>NORRBOTTENS LÄN</t>
        </is>
      </c>
      <c r="G398" t="inlineStr">
        <is>
          <t>KALIX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46250</v>
      </c>
      <c r="F399" t="inlineStr">
        <is>
          <t>NORRBOTTENS LÄN</t>
        </is>
      </c>
      <c r="G399" t="inlineStr">
        <is>
          <t>KALIX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46250</v>
      </c>
      <c r="F400" t="inlineStr">
        <is>
          <t>NORRBOTTENS LÄN</t>
        </is>
      </c>
      <c r="G400" t="inlineStr">
        <is>
          <t>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46250</v>
      </c>
      <c r="F401" t="inlineStr">
        <is>
          <t>NORRBOTTENS LÄN</t>
        </is>
      </c>
      <c r="G401" t="inlineStr">
        <is>
          <t>KALIX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46250</v>
      </c>
      <c r="F402" t="inlineStr">
        <is>
          <t>NORRBOTTENS LÄN</t>
        </is>
      </c>
      <c r="G402" t="inlineStr">
        <is>
          <t>KALIX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46250</v>
      </c>
      <c r="F403" t="inlineStr">
        <is>
          <t>NORRBOTTENS LÄN</t>
        </is>
      </c>
      <c r="G403" t="inlineStr">
        <is>
          <t>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46250</v>
      </c>
      <c r="F404" t="inlineStr">
        <is>
          <t>NORRBOTTENS LÄN</t>
        </is>
      </c>
      <c r="G404" t="inlineStr">
        <is>
          <t>KALIX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46250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46250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46250</v>
      </c>
      <c r="F407" t="inlineStr">
        <is>
          <t>NORRBOTTENS LÄN</t>
        </is>
      </c>
      <c r="G407" t="inlineStr">
        <is>
          <t>KALIX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46250</v>
      </c>
      <c r="F408" t="inlineStr">
        <is>
          <t>NORRBOTTENS LÄN</t>
        </is>
      </c>
      <c r="G408" t="inlineStr">
        <is>
          <t>KALIX</t>
        </is>
      </c>
      <c r="H408" t="inlineStr">
        <is>
          <t>Kommuner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46250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46250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46250</v>
      </c>
      <c r="F411" t="inlineStr">
        <is>
          <t>NORRBOTTENS LÄN</t>
        </is>
      </c>
      <c r="G411" t="inlineStr">
        <is>
          <t>KALIX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46250</v>
      </c>
      <c r="F412" t="inlineStr">
        <is>
          <t>NORRBOTTENS LÄN</t>
        </is>
      </c>
      <c r="G412" t="inlineStr">
        <is>
          <t>KALIX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46250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45660</v>
      </c>
      <c r="E414" s="1" t="n">
        <v>46250</v>
      </c>
      <c r="F414" t="inlineStr">
        <is>
          <t>NORRBOTTENS LÄN</t>
        </is>
      </c>
      <c r="G414" t="inlineStr">
        <is>
          <t>KALIX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46250</v>
      </c>
      <c r="F415" t="inlineStr">
        <is>
          <t>NORRBOTTENS LÄN</t>
        </is>
      </c>
      <c r="G415" t="inlineStr">
        <is>
          <t>KALIX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46250</v>
      </c>
      <c r="F416" t="inlineStr">
        <is>
          <t>NORRBOTTENS LÄN</t>
        </is>
      </c>
      <c r="G416" t="inlineStr">
        <is>
          <t>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46250</v>
      </c>
      <c r="F417" t="inlineStr">
        <is>
          <t>NORRBOTTENS LÄN</t>
        </is>
      </c>
      <c r="G417" t="inlineStr">
        <is>
          <t>KALIX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62139-2023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45266</v>
      </c>
      <c r="E418" s="1" t="n">
        <v>46250</v>
      </c>
      <c r="F418" t="inlineStr">
        <is>
          <t>NORRBOTTENS LÄN</t>
        </is>
      </c>
      <c r="G418" t="inlineStr">
        <is>
          <t>KALIX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45266</v>
      </c>
      <c r="E419" s="1" t="n">
        <v>46250</v>
      </c>
      <c r="F419" t="inlineStr">
        <is>
          <t>NORRBOTTENS LÄN</t>
        </is>
      </c>
      <c r="G419" t="inlineStr">
        <is>
          <t>KALIX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46250</v>
      </c>
      <c r="F420" t="inlineStr">
        <is>
          <t>NORRBOTTENS LÄN</t>
        </is>
      </c>
      <c r="G420" t="inlineStr">
        <is>
          <t>KALIX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45247</v>
      </c>
      <c r="E421" s="1" t="n">
        <v>46250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46250</v>
      </c>
      <c r="F422" t="inlineStr">
        <is>
          <t>NORRBOTTENS LÄN</t>
        </is>
      </c>
      <c r="G422" t="inlineStr">
        <is>
          <t>KALIX</t>
        </is>
      </c>
      <c r="I422" t="n">
        <v>14.8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46250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46250</v>
      </c>
      <c r="F424" t="inlineStr">
        <is>
          <t>NORRBOTTENS LÄN</t>
        </is>
      </c>
      <c r="G424" t="inlineStr">
        <is>
          <t>KALIX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69886-2021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44532</v>
      </c>
      <c r="E425" s="1" t="n">
        <v>46250</v>
      </c>
      <c r="F425" t="inlineStr">
        <is>
          <t>NORRBOTTENS LÄN</t>
        </is>
      </c>
      <c r="G425" t="inlineStr">
        <is>
          <t>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46250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46250</v>
      </c>
      <c r="F427" t="inlineStr">
        <is>
          <t>NORRBOTTENS LÄN</t>
        </is>
      </c>
      <c r="G427" t="inlineStr">
        <is>
          <t>KALIX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46250</v>
      </c>
      <c r="F428" t="inlineStr">
        <is>
          <t>NORRBOTTENS LÄN</t>
        </is>
      </c>
      <c r="G428" t="inlineStr">
        <is>
          <t>KALIX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46250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55539-2024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45622</v>
      </c>
      <c r="E430" s="1" t="n">
        <v>46250</v>
      </c>
      <c r="F430" t="inlineStr">
        <is>
          <t>NORRBOTTENS LÄN</t>
        </is>
      </c>
      <c r="G430" t="inlineStr">
        <is>
          <t>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46250</v>
      </c>
      <c r="F431" t="inlineStr">
        <is>
          <t>NORRBOTTENS LÄN</t>
        </is>
      </c>
      <c r="G431" t="inlineStr">
        <is>
          <t>KALIX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46250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46250</v>
      </c>
      <c r="F433" t="inlineStr">
        <is>
          <t>NORRBOTTENS LÄN</t>
        </is>
      </c>
      <c r="G433" t="inlineStr">
        <is>
          <t>KALIX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46250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46250</v>
      </c>
      <c r="F435" t="inlineStr">
        <is>
          <t>NORRBOTTENS LÄN</t>
        </is>
      </c>
      <c r="G435" t="inlineStr">
        <is>
          <t>KALIX</t>
        </is>
      </c>
      <c r="I435" t="n">
        <v>63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21875-2025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45784</v>
      </c>
      <c r="E436" s="1" t="n">
        <v>46250</v>
      </c>
      <c r="F436" t="inlineStr">
        <is>
          <t>NORRBOTTENS LÄN</t>
        </is>
      </c>
      <c r="G436" t="inlineStr">
        <is>
          <t>KALIX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46250</v>
      </c>
      <c r="F437" t="inlineStr">
        <is>
          <t>NORRBOTTENS LÄN</t>
        </is>
      </c>
      <c r="G437" t="inlineStr">
        <is>
          <t>KALIX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45005</v>
      </c>
      <c r="E438" s="1" t="n">
        <v>46250</v>
      </c>
      <c r="F438" t="inlineStr">
        <is>
          <t>NORRBOTTENS LÄN</t>
        </is>
      </c>
      <c r="G438" t="inlineStr">
        <is>
          <t>KALIX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46250</v>
      </c>
      <c r="F439" t="inlineStr">
        <is>
          <t>NORRBOTTENS LÄN</t>
        </is>
      </c>
      <c r="G439" t="inlineStr">
        <is>
          <t>KALIX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46250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20.9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46250</v>
      </c>
      <c r="F441" t="inlineStr">
        <is>
          <t>NORRBOTTENS LÄN</t>
        </is>
      </c>
      <c r="G441" t="inlineStr">
        <is>
          <t>KALIX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46250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24033-2026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46167</v>
      </c>
      <c r="E443" s="1" t="n">
        <v>46250</v>
      </c>
      <c r="F443" t="inlineStr">
        <is>
          <t>NORRBOTTENS LÄN</t>
        </is>
      </c>
      <c r="G443" t="inlineStr">
        <is>
          <t>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46250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45457</v>
      </c>
      <c r="E445" s="1" t="n">
        <v>46250</v>
      </c>
      <c r="F445" t="inlineStr">
        <is>
          <t>NORRBOTTENS LÄN</t>
        </is>
      </c>
      <c r="G445" t="inlineStr">
        <is>
          <t>KALIX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45748</v>
      </c>
      <c r="E446" s="1" t="n">
        <v>46250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46250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45790</v>
      </c>
      <c r="E448" s="1" t="n">
        <v>46250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46250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46250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46250</v>
      </c>
      <c r="F451" t="inlineStr">
        <is>
          <t>NORRBOTTENS LÄN</t>
        </is>
      </c>
      <c r="G451" t="inlineStr">
        <is>
          <t>KALIX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44580</v>
      </c>
      <c r="E452" s="1" t="n">
        <v>46250</v>
      </c>
      <c r="F452" t="inlineStr">
        <is>
          <t>NORRBOTTENS LÄN</t>
        </is>
      </c>
      <c r="G452" t="inlineStr">
        <is>
          <t>KALIX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46250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67004-2021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44522</v>
      </c>
      <c r="E454" s="1" t="n">
        <v>46250</v>
      </c>
      <c r="F454" t="inlineStr">
        <is>
          <t>NORRBOTTENS LÄN</t>
        </is>
      </c>
      <c r="G454" t="inlineStr">
        <is>
          <t>KALIX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46250</v>
      </c>
      <c r="F455" t="inlineStr">
        <is>
          <t>NORRBOTTENS LÄN</t>
        </is>
      </c>
      <c r="G455" t="inlineStr">
        <is>
          <t>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46250</v>
      </c>
      <c r="F456" t="inlineStr">
        <is>
          <t>NORRBOTTENS LÄN</t>
        </is>
      </c>
      <c r="G456" t="inlineStr">
        <is>
          <t>KALIX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46250</v>
      </c>
      <c r="F457" t="inlineStr">
        <is>
          <t>NORRBOTTENS LÄN</t>
        </is>
      </c>
      <c r="G457" t="inlineStr">
        <is>
          <t>KALIX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46250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46250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46250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45585</v>
      </c>
      <c r="E461" s="1" t="n">
        <v>46250</v>
      </c>
      <c r="F461" t="inlineStr">
        <is>
          <t>NORRBOTTENS LÄN</t>
        </is>
      </c>
      <c r="G461" t="inlineStr">
        <is>
          <t>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46250</v>
      </c>
      <c r="F462" t="inlineStr">
        <is>
          <t>NORRBOTTENS LÄN</t>
        </is>
      </c>
      <c r="G462" t="inlineStr">
        <is>
          <t>KALIX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46250</v>
      </c>
      <c r="F463" t="inlineStr">
        <is>
          <t>NORRBOTTENS LÄN</t>
        </is>
      </c>
      <c r="G463" t="inlineStr">
        <is>
          <t>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45799</v>
      </c>
      <c r="E464" s="1" t="n">
        <v>46250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45470</v>
      </c>
      <c r="E465" s="1" t="n">
        <v>46250</v>
      </c>
      <c r="F465" t="inlineStr">
        <is>
          <t>NORRBOTTENS LÄN</t>
        </is>
      </c>
      <c r="G465" t="inlineStr">
        <is>
          <t>KALIX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46250</v>
      </c>
      <c r="F466" t="inlineStr">
        <is>
          <t>NORRBOTTENS LÄN</t>
        </is>
      </c>
      <c r="G466" t="inlineStr">
        <is>
          <t>KALIX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45799</v>
      </c>
      <c r="E467" s="1" t="n">
        <v>46250</v>
      </c>
      <c r="F467" t="inlineStr">
        <is>
          <t>NORRBOTTENS LÄN</t>
        </is>
      </c>
      <c r="G467" t="inlineStr">
        <is>
          <t>KALIX</t>
        </is>
      </c>
      <c r="I467" t="n">
        <v>12.3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46250</v>
      </c>
      <c r="F468" t="inlineStr">
        <is>
          <t>NORRBOTTENS LÄN</t>
        </is>
      </c>
      <c r="G468" t="inlineStr">
        <is>
          <t>KALIX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45681</v>
      </c>
      <c r="E469" s="1" t="n">
        <v>46250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45799</v>
      </c>
      <c r="E470" s="1" t="n">
        <v>46250</v>
      </c>
      <c r="F470" t="inlineStr">
        <is>
          <t>NORRBOTTENS LÄN</t>
        </is>
      </c>
      <c r="G470" t="inlineStr">
        <is>
          <t>KALIX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46250</v>
      </c>
      <c r="F471" t="inlineStr">
        <is>
          <t>NORRBOTTENS LÄN</t>
        </is>
      </c>
      <c r="G471" t="inlineStr">
        <is>
          <t>KALIX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46250</v>
      </c>
      <c r="F472" t="inlineStr">
        <is>
          <t>NORRBOTTENS LÄN</t>
        </is>
      </c>
      <c r="G472" t="inlineStr">
        <is>
          <t>KALIX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46250</v>
      </c>
      <c r="F473" t="inlineStr">
        <is>
          <t>NORRBOTTENS LÄN</t>
        </is>
      </c>
      <c r="G473" t="inlineStr">
        <is>
          <t>KALIX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46250</v>
      </c>
      <c r="F474" t="inlineStr">
        <is>
          <t>NORRBOTTENS LÄN</t>
        </is>
      </c>
      <c r="G474" t="inlineStr">
        <is>
          <t>KALIX</t>
        </is>
      </c>
      <c r="I474" t="n">
        <v>11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46250</v>
      </c>
      <c r="F475" t="inlineStr">
        <is>
          <t>NORRBOTTENS LÄN</t>
        </is>
      </c>
      <c r="G475" t="inlineStr">
        <is>
          <t>KALIX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45805</v>
      </c>
      <c r="E476" s="1" t="n">
        <v>46250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46221</v>
      </c>
      <c r="E477" s="1" t="n">
        <v>46250</v>
      </c>
      <c r="F477" t="inlineStr">
        <is>
          <t>NORRBOTTENS LÄN</t>
        </is>
      </c>
      <c r="G477" t="inlineStr">
        <is>
          <t>KALIX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45721</v>
      </c>
      <c r="E478" s="1" t="n">
        <v>46250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13537-2022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44648</v>
      </c>
      <c r="E479" s="1" t="n">
        <v>46250</v>
      </c>
      <c r="F479" t="inlineStr">
        <is>
          <t>NORRBOTTENS LÄN</t>
        </is>
      </c>
      <c r="G479" t="inlineStr">
        <is>
          <t>KALIX</t>
        </is>
      </c>
      <c r="H479" t="inlineStr">
        <is>
          <t>BillerudKorsnäs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46250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45321</v>
      </c>
      <c r="E481" s="1" t="n">
        <v>46250</v>
      </c>
      <c r="F481" t="inlineStr">
        <is>
          <t>NORRBOTTENS LÄN</t>
        </is>
      </c>
      <c r="G481" t="inlineStr">
        <is>
          <t>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60814-2025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46250</v>
      </c>
      <c r="F482" t="inlineStr">
        <is>
          <t>NORRBOTTENS LÄN</t>
        </is>
      </c>
      <c r="G482" t="inlineStr">
        <is>
          <t>KALIX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46250</v>
      </c>
      <c r="F483" t="inlineStr">
        <is>
          <t>NORRBOTTENS LÄN</t>
        </is>
      </c>
      <c r="G483" t="inlineStr">
        <is>
          <t>KALIX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46250</v>
      </c>
      <c r="F484" t="inlineStr">
        <is>
          <t>NORRBOTTENS LÄN</t>
        </is>
      </c>
      <c r="G484" t="inlineStr">
        <is>
          <t>KALIX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11856-2023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44995</v>
      </c>
      <c r="E485" s="1" t="n">
        <v>46250</v>
      </c>
      <c r="F485" t="inlineStr">
        <is>
          <t>NORRBOTTENS LÄN</t>
        </is>
      </c>
      <c r="G485" t="inlineStr">
        <is>
          <t>KALIX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46250</v>
      </c>
      <c r="F486" t="inlineStr">
        <is>
          <t>NORRBOTTENS LÄN</t>
        </is>
      </c>
      <c r="G486" t="inlineStr">
        <is>
          <t>KALIX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46250</v>
      </c>
      <c r="F487" t="inlineStr">
        <is>
          <t>NORRBOTTENS LÄN</t>
        </is>
      </c>
      <c r="G487" t="inlineStr">
        <is>
          <t>KALIX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45811</v>
      </c>
      <c r="E488" s="1" t="n">
        <v>46250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46250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45811</v>
      </c>
      <c r="E490" s="1" t="n">
        <v>46250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1262-2025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45667</v>
      </c>
      <c r="E491" s="1" t="n">
        <v>46250</v>
      </c>
      <c r="F491" t="inlineStr">
        <is>
          <t>NORRBOTTENS LÄN</t>
        </is>
      </c>
      <c r="G491" t="inlineStr">
        <is>
          <t>KALIX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45816</v>
      </c>
      <c r="E492" s="1" t="n">
        <v>46250</v>
      </c>
      <c r="F492" t="inlineStr">
        <is>
          <t>NORRBOTTENS LÄN</t>
        </is>
      </c>
      <c r="G492" t="inlineStr">
        <is>
          <t>KALIX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45815</v>
      </c>
      <c r="E493" s="1" t="n">
        <v>46250</v>
      </c>
      <c r="F493" t="inlineStr">
        <is>
          <t>NORRBOTTENS LÄN</t>
        </is>
      </c>
      <c r="G493" t="inlineStr">
        <is>
          <t>KALIX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45815</v>
      </c>
      <c r="E494" s="1" t="n">
        <v>46250</v>
      </c>
      <c r="F494" t="inlineStr">
        <is>
          <t>NORRBOTTENS LÄN</t>
        </is>
      </c>
      <c r="G494" t="inlineStr">
        <is>
          <t>KALIX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45816</v>
      </c>
      <c r="E495" s="1" t="n">
        <v>46250</v>
      </c>
      <c r="F495" t="inlineStr">
        <is>
          <t>NORRBOTTENS LÄN</t>
        </is>
      </c>
      <c r="G495" t="inlineStr">
        <is>
          <t>KALIX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45816</v>
      </c>
      <c r="E496" s="1" t="n">
        <v>46250</v>
      </c>
      <c r="F496" t="inlineStr">
        <is>
          <t>NORRBOTTENS LÄN</t>
        </is>
      </c>
      <c r="G496" t="inlineStr">
        <is>
          <t>KALIX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45816</v>
      </c>
      <c r="E497" s="1" t="n">
        <v>46250</v>
      </c>
      <c r="F497" t="inlineStr">
        <is>
          <t>NORRBOTTENS LÄN</t>
        </is>
      </c>
      <c r="G497" t="inlineStr">
        <is>
          <t>KALIX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45815</v>
      </c>
      <c r="E498" s="1" t="n">
        <v>46250</v>
      </c>
      <c r="F498" t="inlineStr">
        <is>
          <t>NORRBOTTENS LÄN</t>
        </is>
      </c>
      <c r="G498" t="inlineStr">
        <is>
          <t>KALIX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45815</v>
      </c>
      <c r="E499" s="1" t="n">
        <v>46250</v>
      </c>
      <c r="F499" t="inlineStr">
        <is>
          <t>NORRBOTTENS LÄN</t>
        </is>
      </c>
      <c r="G499" t="inlineStr">
        <is>
          <t>KALIX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45816</v>
      </c>
      <c r="E500" s="1" t="n">
        <v>46250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45816</v>
      </c>
      <c r="E501" s="1" t="n">
        <v>46250</v>
      </c>
      <c r="F501" t="inlineStr">
        <is>
          <t>NORRBOTTENS LÄN</t>
        </is>
      </c>
      <c r="G501" t="inlineStr">
        <is>
          <t>KALIX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27771-2025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45816</v>
      </c>
      <c r="E502" s="1" t="n">
        <v>46250</v>
      </c>
      <c r="F502" t="inlineStr">
        <is>
          <t>NORRBOTTENS LÄN</t>
        </is>
      </c>
      <c r="G502" t="inlineStr">
        <is>
          <t>KALIX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45815</v>
      </c>
      <c r="E503" s="1" t="n">
        <v>46250</v>
      </c>
      <c r="F503" t="inlineStr">
        <is>
          <t>NORRBOTTENS LÄN</t>
        </is>
      </c>
      <c r="G503" t="inlineStr">
        <is>
          <t>KALIX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45816</v>
      </c>
      <c r="E504" s="1" t="n">
        <v>46250</v>
      </c>
      <c r="F504" t="inlineStr">
        <is>
          <t>NORRBOTTENS LÄN</t>
        </is>
      </c>
      <c r="G504" t="inlineStr">
        <is>
          <t>KALIX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27779-2025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45816</v>
      </c>
      <c r="E505" s="1" t="n">
        <v>46250</v>
      </c>
      <c r="F505" t="inlineStr">
        <is>
          <t>NORRBOTTENS LÄN</t>
        </is>
      </c>
      <c r="G505" t="inlineStr">
        <is>
          <t>KALIX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45816</v>
      </c>
      <c r="E506" s="1" t="n">
        <v>46250</v>
      </c>
      <c r="F506" t="inlineStr">
        <is>
          <t>NORRBOTTENS LÄN</t>
        </is>
      </c>
      <c r="G506" t="inlineStr">
        <is>
          <t>KALIX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27772-2025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45816</v>
      </c>
      <c r="E507" s="1" t="n">
        <v>46250</v>
      </c>
      <c r="F507" t="inlineStr">
        <is>
          <t>NORRBOTTENS LÄN</t>
        </is>
      </c>
      <c r="G507" t="inlineStr">
        <is>
          <t>KALIX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45816</v>
      </c>
      <c r="E508" s="1" t="n">
        <v>46250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45816</v>
      </c>
      <c r="E509" s="1" t="n">
        <v>46250</v>
      </c>
      <c r="F509" t="inlineStr">
        <is>
          <t>NORRBOTTENS LÄN</t>
        </is>
      </c>
      <c r="G509" t="inlineStr">
        <is>
          <t>KALIX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45816</v>
      </c>
      <c r="E510" s="1" t="n">
        <v>46250</v>
      </c>
      <c r="F510" t="inlineStr">
        <is>
          <t>NORRBOTTENS LÄN</t>
        </is>
      </c>
      <c r="G510" t="inlineStr">
        <is>
          <t>KALIX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45816</v>
      </c>
      <c r="E511" s="1" t="n">
        <v>46250</v>
      </c>
      <c r="F511" t="inlineStr">
        <is>
          <t>NORRBOTTENS LÄN</t>
        </is>
      </c>
      <c r="G511" t="inlineStr">
        <is>
          <t>KALIX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45816</v>
      </c>
      <c r="E512" s="1" t="n">
        <v>46250</v>
      </c>
      <c r="F512" t="inlineStr">
        <is>
          <t>NORRBOTTENS LÄN</t>
        </is>
      </c>
      <c r="G512" t="inlineStr">
        <is>
          <t>KALIX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45816</v>
      </c>
      <c r="E513" s="1" t="n">
        <v>46250</v>
      </c>
      <c r="F513" t="inlineStr">
        <is>
          <t>NORRBOTTENS LÄN</t>
        </is>
      </c>
      <c r="G513" t="inlineStr">
        <is>
          <t>KALIX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45816</v>
      </c>
      <c r="E514" s="1" t="n">
        <v>46250</v>
      </c>
      <c r="F514" t="inlineStr">
        <is>
          <t>NORRBOTTENS LÄN</t>
        </is>
      </c>
      <c r="G514" t="inlineStr">
        <is>
          <t>KALIX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45816</v>
      </c>
      <c r="E515" s="1" t="n">
        <v>46250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45816</v>
      </c>
      <c r="E516" s="1" t="n">
        <v>46250</v>
      </c>
      <c r="F516" t="inlineStr">
        <is>
          <t>NORRBOTTENS LÄN</t>
        </is>
      </c>
      <c r="G516" t="inlineStr">
        <is>
          <t>KALIX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45816</v>
      </c>
      <c r="E517" s="1" t="n">
        <v>46250</v>
      </c>
      <c r="F517" t="inlineStr">
        <is>
          <t>NORRBOTTENS LÄN</t>
        </is>
      </c>
      <c r="G517" t="inlineStr">
        <is>
          <t>KALIX</t>
        </is>
      </c>
      <c r="I517" t="n">
        <v>18.4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45820</v>
      </c>
      <c r="E518" s="1" t="n">
        <v>46250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45820</v>
      </c>
      <c r="E519" s="1" t="n">
        <v>46250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46250</v>
      </c>
      <c r="F520" t="inlineStr">
        <is>
          <t>NORRBOTTENS LÄN</t>
        </is>
      </c>
      <c r="G520" t="inlineStr">
        <is>
          <t>KALIX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45679</v>
      </c>
      <c r="E521" s="1" t="n">
        <v>46250</v>
      </c>
      <c r="F521" t="inlineStr">
        <is>
          <t>NORRBOTTENS LÄN</t>
        </is>
      </c>
      <c r="G521" t="inlineStr">
        <is>
          <t>KALIX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29655-2025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45825</v>
      </c>
      <c r="E522" s="1" t="n">
        <v>46250</v>
      </c>
      <c r="F522" t="inlineStr">
        <is>
          <t>NORRBOTTENS LÄN</t>
        </is>
      </c>
      <c r="G522" t="inlineStr">
        <is>
          <t>KALIX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46250</v>
      </c>
      <c r="F523" t="inlineStr">
        <is>
          <t>NORRBOTTENS LÄN</t>
        </is>
      </c>
      <c r="G523" t="inlineStr">
        <is>
          <t>KALIX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46250</v>
      </c>
      <c r="F524" t="inlineStr">
        <is>
          <t>NORRBOTTENS LÄN</t>
        </is>
      </c>
      <c r="G524" t="inlineStr">
        <is>
          <t>KALIX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46250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45392</v>
      </c>
      <c r="E526" s="1" t="n">
        <v>46250</v>
      </c>
      <c r="F526" t="inlineStr">
        <is>
          <t>NORRBOTTENS LÄN</t>
        </is>
      </c>
      <c r="G526" t="inlineStr">
        <is>
          <t>KALIX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49759-2022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44862</v>
      </c>
      <c r="E527" s="1" t="n">
        <v>46250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32114-2026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46233</v>
      </c>
      <c r="E528" s="1" t="n">
        <v>46250</v>
      </c>
      <c r="F528" t="inlineStr">
        <is>
          <t>NORRBOTTENS LÄN</t>
        </is>
      </c>
      <c r="G528" t="inlineStr">
        <is>
          <t>KALIX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46234</v>
      </c>
      <c r="E529" s="1" t="n">
        <v>46250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30814-2023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46250</v>
      </c>
      <c r="F530" t="inlineStr">
        <is>
          <t>NORRBOTTENS LÄN</t>
        </is>
      </c>
      <c r="G530" t="inlineStr">
        <is>
          <t>KALIX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46250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46250</v>
      </c>
      <c r="F532" t="inlineStr">
        <is>
          <t>NORRBOTTENS LÄN</t>
        </is>
      </c>
      <c r="G532" t="inlineStr">
        <is>
          <t>KALIX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46250</v>
      </c>
      <c r="F533" t="inlineStr">
        <is>
          <t>NORRBOTTENS LÄN</t>
        </is>
      </c>
      <c r="G533" t="inlineStr">
        <is>
          <t>KALIX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46250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46238</v>
      </c>
      <c r="E535" s="1" t="n">
        <v>46250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45415</v>
      </c>
      <c r="E536" s="1" t="n">
        <v>46250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45415</v>
      </c>
      <c r="E537" s="1" t="n">
        <v>46250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8.1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46250</v>
      </c>
      <c r="F538" t="inlineStr">
        <is>
          <t>NORRBOTTENS LÄN</t>
        </is>
      </c>
      <c r="G538" t="inlineStr">
        <is>
          <t>KALIX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45842</v>
      </c>
      <c r="E539" s="1" t="n">
        <v>46250</v>
      </c>
      <c r="F539" t="inlineStr">
        <is>
          <t>NORRBOTTENS LÄN</t>
        </is>
      </c>
      <c r="G539" t="inlineStr">
        <is>
          <t>KALIX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45842</v>
      </c>
      <c r="E540" s="1" t="n">
        <v>46250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46250</v>
      </c>
      <c r="F541" t="inlineStr">
        <is>
          <t>NORRBOTTENS LÄN</t>
        </is>
      </c>
      <c r="G541" t="inlineStr">
        <is>
          <t>KALIX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46250</v>
      </c>
      <c r="F542" t="inlineStr">
        <is>
          <t>NORRBOTTENS LÄN</t>
        </is>
      </c>
      <c r="G542" t="inlineStr">
        <is>
          <t>KALIX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46238</v>
      </c>
      <c r="E543" s="1" t="n">
        <v>46250</v>
      </c>
      <c r="F543" t="inlineStr">
        <is>
          <t>NORRBOTTENS LÄN</t>
        </is>
      </c>
      <c r="G543" t="inlineStr">
        <is>
          <t>KALIX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45842</v>
      </c>
      <c r="E544" s="1" t="n">
        <v>46250</v>
      </c>
      <c r="F544" t="inlineStr">
        <is>
          <t>NORRBOTTENS LÄN</t>
        </is>
      </c>
      <c r="G544" t="inlineStr">
        <is>
          <t>KALIX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31721-2022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44776</v>
      </c>
      <c r="E545" s="1" t="n">
        <v>46250</v>
      </c>
      <c r="F545" t="inlineStr">
        <is>
          <t>NORRBOTTENS LÄN</t>
        </is>
      </c>
      <c r="G545" t="inlineStr">
        <is>
          <t>KALIX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44749</v>
      </c>
      <c r="E546" s="1" t="n">
        <v>46250</v>
      </c>
      <c r="F546" t="inlineStr">
        <is>
          <t>NORRBOTTENS LÄN</t>
        </is>
      </c>
      <c r="G546" t="inlineStr">
        <is>
          <t>KALIX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46250</v>
      </c>
      <c r="F547" t="inlineStr">
        <is>
          <t>NORRBOTTENS LÄN</t>
        </is>
      </c>
      <c r="G547" t="inlineStr">
        <is>
          <t>KALIX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46250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28155-2026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46250</v>
      </c>
      <c r="F549" t="inlineStr">
        <is>
          <t>NORRBOTTENS LÄN</t>
        </is>
      </c>
      <c r="G549" t="inlineStr">
        <is>
          <t>KALIX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46250</v>
      </c>
      <c r="F550" t="inlineStr">
        <is>
          <t>NORRBOTTENS LÄN</t>
        </is>
      </c>
      <c r="G550" t="inlineStr">
        <is>
          <t>KALIX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46250</v>
      </c>
      <c r="F551" t="inlineStr">
        <is>
          <t>NORRBOTTENS LÄN</t>
        </is>
      </c>
      <c r="G551" t="inlineStr">
        <is>
          <t>KALIX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45851</v>
      </c>
      <c r="E552" s="1" t="n">
        <v>46250</v>
      </c>
      <c r="F552" t="inlineStr">
        <is>
          <t>NORRBOTTENS LÄN</t>
        </is>
      </c>
      <c r="G552" t="inlineStr">
        <is>
          <t>KALIX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46250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45866</v>
      </c>
      <c r="E554" s="1" t="n">
        <v>46250</v>
      </c>
      <c r="F554" t="inlineStr">
        <is>
          <t>NORRBOTTENS LÄN</t>
        </is>
      </c>
      <c r="G554" t="inlineStr">
        <is>
          <t>KALIX</t>
        </is>
      </c>
      <c r="H554" t="inlineStr">
        <is>
          <t>Sveaskog</t>
        </is>
      </c>
      <c r="I554" t="n">
        <v>14.8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46250</v>
      </c>
      <c r="F555" t="inlineStr">
        <is>
          <t>NORRBOTTENS LÄN</t>
        </is>
      </c>
      <c r="G555" t="inlineStr">
        <is>
          <t>KALIX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46250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46250</v>
      </c>
      <c r="F557" t="inlineStr">
        <is>
          <t>NORRBOTTENS LÄN</t>
        </is>
      </c>
      <c r="G557" t="inlineStr">
        <is>
          <t>KALIX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46250</v>
      </c>
      <c r="F558" t="inlineStr">
        <is>
          <t>NORRBOTTENS LÄN</t>
        </is>
      </c>
      <c r="G558" t="inlineStr">
        <is>
          <t>KALIX</t>
        </is>
      </c>
      <c r="H558" t="inlineStr">
        <is>
          <t>Sveaskog</t>
        </is>
      </c>
      <c r="I558" t="n">
        <v>13.2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46246</v>
      </c>
      <c r="E559" s="1" t="n">
        <v>46250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46250</v>
      </c>
      <c r="F560" t="inlineStr">
        <is>
          <t>NORRBOTTENS LÄN</t>
        </is>
      </c>
      <c r="G560" t="inlineStr">
        <is>
          <t>KALIX</t>
        </is>
      </c>
      <c r="I560" t="n">
        <v>19.3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46250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46250</v>
      </c>
      <c r="F562" t="inlineStr">
        <is>
          <t>NORRBOTTENS LÄN</t>
        </is>
      </c>
      <c r="G562" t="inlineStr">
        <is>
          <t>KALIX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46250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46250</v>
      </c>
      <c r="F564" t="inlineStr">
        <is>
          <t>NORRBOTTENS LÄN</t>
        </is>
      </c>
      <c r="G564" t="inlineStr">
        <is>
          <t>KALIX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46250</v>
      </c>
      <c r="F565" t="inlineStr">
        <is>
          <t>NORRBOTTENS LÄN</t>
        </is>
      </c>
      <c r="G565" t="inlineStr">
        <is>
          <t>KALIX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46250</v>
      </c>
      <c r="F566" t="inlineStr">
        <is>
          <t>NORRBOTTENS LÄN</t>
        </is>
      </c>
      <c r="G566" t="inlineStr">
        <is>
          <t>KALIX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2172-2022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44678</v>
      </c>
      <c r="E567" s="1" t="n">
        <v>46250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1138-2024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45393</v>
      </c>
      <c r="E568" s="1" t="n">
        <v>46250</v>
      </c>
      <c r="F568" t="inlineStr">
        <is>
          <t>NORRBOTTENS LÄN</t>
        </is>
      </c>
      <c r="G568" t="inlineStr">
        <is>
          <t>KALIX</t>
        </is>
      </c>
      <c r="I568" t="n">
        <v>16.5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1658-2023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45061</v>
      </c>
      <c r="E569" s="1" t="n">
        <v>46250</v>
      </c>
      <c r="F569" t="inlineStr">
        <is>
          <t>NORRBOTTENS LÄN</t>
        </is>
      </c>
      <c r="G569" t="inlineStr">
        <is>
          <t>KALIX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157-2023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44944</v>
      </c>
      <c r="E570" s="1" t="n">
        <v>46250</v>
      </c>
      <c r="F570" t="inlineStr">
        <is>
          <t>NORRBOTTENS LÄN</t>
        </is>
      </c>
      <c r="G570" t="inlineStr">
        <is>
          <t>KALIX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1139-2024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45393</v>
      </c>
      <c r="E571" s="1" t="n">
        <v>46250</v>
      </c>
      <c r="F571" t="inlineStr">
        <is>
          <t>NORRBOTTENS LÄN</t>
        </is>
      </c>
      <c r="G571" t="inlineStr">
        <is>
          <t>KALIX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1659-2023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45061</v>
      </c>
      <c r="E572" s="1" t="n">
        <v>46250</v>
      </c>
      <c r="F572" t="inlineStr">
        <is>
          <t>NORRBOTTENS LÄN</t>
        </is>
      </c>
      <c r="G572" t="inlineStr">
        <is>
          <t>KALIX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1131-2024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46250</v>
      </c>
      <c r="F573" t="inlineStr">
        <is>
          <t>NORRBOTTENS LÄN</t>
        </is>
      </c>
      <c r="G573" t="inlineStr">
        <is>
          <t>KALIX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46250</v>
      </c>
      <c r="F574" t="inlineStr">
        <is>
          <t>NORRBOTTENS LÄN</t>
        </is>
      </c>
      <c r="G574" t="inlineStr">
        <is>
          <t>KALIX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961-2024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45383</v>
      </c>
      <c r="E575" s="1" t="n">
        <v>46250</v>
      </c>
      <c r="F575" t="inlineStr">
        <is>
          <t>NORRBOTTENS LÄN</t>
        </is>
      </c>
      <c r="G575" t="inlineStr">
        <is>
          <t>KALIX</t>
        </is>
      </c>
      <c r="H575" t="inlineStr">
        <is>
          <t>Sveaskog</t>
        </is>
      </c>
      <c r="I575" t="n">
        <v>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849-2025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45733</v>
      </c>
      <c r="E576" s="1" t="n">
        <v>46250</v>
      </c>
      <c r="F576" t="inlineStr">
        <is>
          <t>NORRBOTTENS LÄN</t>
        </is>
      </c>
      <c r="G576" t="inlineStr">
        <is>
          <t>KALIX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45747</v>
      </c>
      <c r="E577" s="1" t="n">
        <v>46250</v>
      </c>
      <c r="F577" t="inlineStr">
        <is>
          <t>NORRBOTTENS LÄN</t>
        </is>
      </c>
      <c r="G577" t="inlineStr">
        <is>
          <t>KALIX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1019-2025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45747</v>
      </c>
      <c r="E578" s="1" t="n">
        <v>46250</v>
      </c>
      <c r="F578" t="inlineStr">
        <is>
          <t>NORRBOTTENS LÄN</t>
        </is>
      </c>
      <c r="G578" t="inlineStr">
        <is>
          <t>KALIX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1017-2025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45747</v>
      </c>
      <c r="E579" s="1" t="n">
        <v>46250</v>
      </c>
      <c r="F579" t="inlineStr">
        <is>
          <t>NORRBOTTENS LÄN</t>
        </is>
      </c>
      <c r="G579" t="inlineStr">
        <is>
          <t>KALIX</t>
        </is>
      </c>
      <c r="I579" t="n">
        <v>15.7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1176-2025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45756</v>
      </c>
      <c r="E580" s="1" t="n">
        <v>46250</v>
      </c>
      <c r="F580" t="inlineStr">
        <is>
          <t>NORRBOTTENS LÄN</t>
        </is>
      </c>
      <c r="G580" t="inlineStr">
        <is>
          <t>KALIX</t>
        </is>
      </c>
      <c r="I580" t="n">
        <v>17.6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1356-2025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45775</v>
      </c>
      <c r="E581" s="1" t="n">
        <v>46250</v>
      </c>
      <c r="F581" t="inlineStr">
        <is>
          <t>NORRBOTTENS LÄN</t>
        </is>
      </c>
      <c r="G581" t="inlineStr">
        <is>
          <t>KALIX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1355-2025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45775</v>
      </c>
      <c r="E582" s="1" t="n">
        <v>46250</v>
      </c>
      <c r="F582" t="inlineStr">
        <is>
          <t>NORRBOTTENS LÄN</t>
        </is>
      </c>
      <c r="G582" t="inlineStr">
        <is>
          <t>KALIX</t>
        </is>
      </c>
      <c r="I582" t="n">
        <v>36.9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1493-2026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46162</v>
      </c>
      <c r="E583" s="1" t="n">
        <v>46250</v>
      </c>
      <c r="F583" t="inlineStr">
        <is>
          <t>NORRBOTTENS LÄN</t>
        </is>
      </c>
      <c r="G583" t="inlineStr">
        <is>
          <t>KALIX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46190</v>
      </c>
      <c r="E584" s="1" t="n">
        <v>46250</v>
      </c>
      <c r="F584" t="inlineStr">
        <is>
          <t>NORRBOTTENS LÄN</t>
        </is>
      </c>
      <c r="G584" t="inlineStr">
        <is>
          <t>KALIX</t>
        </is>
      </c>
      <c r="I584" t="n">
        <v>12.8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1797-2026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46190</v>
      </c>
      <c r="E585" s="1" t="n">
        <v>46250</v>
      </c>
      <c r="F585" t="inlineStr">
        <is>
          <t>NORRBOTTENS LÄN</t>
        </is>
      </c>
      <c r="G585" t="inlineStr">
        <is>
          <t>KALIX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2026-08-16T01:48:03Z</dcterms:created>
  <dcterms:modified xmlns:dcterms="http://purl.org/dc/terms/" xmlns:xsi="http://www.w3.org/2001/XMLSchema-instance" xsi:type="dcterms:W3CDTF">2026-08-16T01:48:04Z</dcterms:modified>
</cp:coreProperties>
</file>