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45660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45660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45660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45660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45660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45660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45660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45660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45660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45660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45660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45660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45660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45660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45660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45660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45660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45660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45660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45660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45660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45660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45660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45660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45660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31232-2021</t>
        </is>
      </c>
      <c r="B27" s="1" t="n">
        <v>44368</v>
      </c>
      <c r="C27" s="1" t="n">
        <v>45660</v>
      </c>
      <c r="D27" t="inlineStr">
        <is>
          <t>NORRBOTTENS LÄN</t>
        </is>
      </c>
      <c r="E27" t="inlineStr">
        <is>
          <t>KALIX</t>
        </is>
      </c>
      <c r="G27" t="n">
        <v>7.6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HYPERLINK("https://klasma.github.io/Logging_2514/artfynd/A 31232-2021 artfynd.xlsx", "A 31232-2021")</f>
        <v/>
      </c>
      <c r="T27">
        <f>HYPERLINK("https://klasma.github.io/Logging_2514/kartor/A 31232-2021 karta.png", "A 31232-2021")</f>
        <v/>
      </c>
      <c r="V27">
        <f>HYPERLINK("https://klasma.github.io/Logging_2514/klagomål/A 31232-2021 FSC-klagomål.docx", "A 31232-2021")</f>
        <v/>
      </c>
      <c r="W27">
        <f>HYPERLINK("https://klasma.github.io/Logging_2514/klagomålsmail/A 31232-2021 FSC-klagomål mail.docx", "A 31232-2021")</f>
        <v/>
      </c>
      <c r="X27">
        <f>HYPERLINK("https://klasma.github.io/Logging_2514/tillsyn/A 31232-2021 tillsynsbegäran.docx", "A 31232-2021")</f>
        <v/>
      </c>
      <c r="Y27">
        <f>HYPERLINK("https://klasma.github.io/Logging_2514/tillsynsmail/A 31232-2021 tillsynsbegäran mail.docx", "A 31232-2021")</f>
        <v/>
      </c>
    </row>
    <row r="28" ht="15" customHeight="1">
      <c r="A28" t="inlineStr">
        <is>
          <t>A 34184-2022</t>
        </is>
      </c>
      <c r="B28" s="1" t="n">
        <v>44791</v>
      </c>
      <c r="C28" s="1" t="n">
        <v>45660</v>
      </c>
      <c r="D28" t="inlineStr">
        <is>
          <t>NORRBOTTENS LÄN</t>
        </is>
      </c>
      <c r="E28" t="inlineStr">
        <is>
          <t>KALIX</t>
        </is>
      </c>
      <c r="F28" t="inlineStr">
        <is>
          <t>Sveaskog</t>
        </is>
      </c>
      <c r="G28" t="n">
        <v>15.2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HYPERLINK("https://klasma.github.io/Logging_2514/artfynd/A 34184-2022 artfynd.xlsx", "A 34184-2022")</f>
        <v/>
      </c>
      <c r="T28">
        <f>HYPERLINK("https://klasma.github.io/Logging_2514/kartor/A 34184-2022 karta.png", "A 34184-2022")</f>
        <v/>
      </c>
      <c r="V28">
        <f>HYPERLINK("https://klasma.github.io/Logging_2514/klagomål/A 34184-2022 FSC-klagomål.docx", "A 34184-2022")</f>
        <v/>
      </c>
      <c r="W28">
        <f>HYPERLINK("https://klasma.github.io/Logging_2514/klagomålsmail/A 34184-2022 FSC-klagomål mail.docx", "A 34184-2022")</f>
        <v/>
      </c>
      <c r="X28">
        <f>HYPERLINK("https://klasma.github.io/Logging_2514/tillsyn/A 34184-2022 tillsynsbegäran.docx", "A 34184-2022")</f>
        <v/>
      </c>
      <c r="Y28">
        <f>HYPERLINK("https://klasma.github.io/Logging_2514/tillsynsmail/A 34184-2022 tillsynsbegäran mail.docx", "A 34184-2022")</f>
        <v/>
      </c>
    </row>
    <row r="29" ht="15" customHeight="1">
      <c r="A29" t="inlineStr">
        <is>
          <t>A 35547-2022</t>
        </is>
      </c>
      <c r="B29" s="1" t="n">
        <v>44799</v>
      </c>
      <c r="C29" s="1" t="n">
        <v>45660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HYPERLINK("https://klasma.github.io/Logging_2514/artfynd/A 35547-2022 artfynd.xlsx", "A 35547-2022")</f>
        <v/>
      </c>
      <c r="T29">
        <f>HYPERLINK("https://klasma.github.io/Logging_2514/kartor/A 35547-2022 karta.png", "A 35547-2022")</f>
        <v/>
      </c>
      <c r="V29">
        <f>HYPERLINK("https://klasma.github.io/Logging_2514/klagomål/A 35547-2022 FSC-klagomål.docx", "A 35547-2022")</f>
        <v/>
      </c>
      <c r="W29">
        <f>HYPERLINK("https://klasma.github.io/Logging_2514/klagomålsmail/A 35547-2022 FSC-klagomål mail.docx", "A 35547-2022")</f>
        <v/>
      </c>
      <c r="X29">
        <f>HYPERLINK("https://klasma.github.io/Logging_2514/tillsyn/A 35547-2022 tillsynsbegäran.docx", "A 35547-2022")</f>
        <v/>
      </c>
      <c r="Y29">
        <f>HYPERLINK("https://klasma.github.io/Logging_2514/tillsynsmail/A 35547-2022 tillsynsbegäran mail.docx", "A 35547-2022")</f>
        <v/>
      </c>
    </row>
    <row r="30" ht="15" customHeight="1">
      <c r="A30" t="inlineStr">
        <is>
          <t>A 21552-2023</t>
        </is>
      </c>
      <c r="B30" s="1" t="n">
        <v>45063</v>
      </c>
      <c r="C30" s="1" t="n">
        <v>45660</v>
      </c>
      <c r="D30" t="inlineStr">
        <is>
          <t>NORRBOTTENS LÄN</t>
        </is>
      </c>
      <c r="E30" t="inlineStr">
        <is>
          <t>KALIX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HYPERLINK("https://klasma.github.io/Logging_2514/artfynd/A 21552-2023 artfynd.xlsx", "A 21552-2023")</f>
        <v/>
      </c>
      <c r="T30">
        <f>HYPERLINK("https://klasma.github.io/Logging_2514/kartor/A 21552-2023 karta.png", "A 21552-2023")</f>
        <v/>
      </c>
      <c r="V30">
        <f>HYPERLINK("https://klasma.github.io/Logging_2514/klagomål/A 21552-2023 FSC-klagomål.docx", "A 21552-2023")</f>
        <v/>
      </c>
      <c r="W30">
        <f>HYPERLINK("https://klasma.github.io/Logging_2514/klagomålsmail/A 21552-2023 FSC-klagomål mail.docx", "A 21552-2023")</f>
        <v/>
      </c>
      <c r="X30">
        <f>HYPERLINK("https://klasma.github.io/Logging_2514/tillsyn/A 21552-2023 tillsynsbegäran.docx", "A 21552-2023")</f>
        <v/>
      </c>
      <c r="Y30">
        <f>HYPERLINK("https://klasma.github.io/Logging_2514/tillsynsmail/A 21552-2023 tillsynsbegäran mail.docx", "A 21552-2023")</f>
        <v/>
      </c>
    </row>
    <row r="31" ht="15" customHeight="1">
      <c r="A31" t="inlineStr">
        <is>
          <t>A 56190-2023</t>
        </is>
      </c>
      <c r="B31" s="1" t="n">
        <v>45240</v>
      </c>
      <c r="C31" s="1" t="n">
        <v>45660</v>
      </c>
      <c r="D31" t="inlineStr">
        <is>
          <t>NORRBOTTENS LÄN</t>
        </is>
      </c>
      <c r="E31" t="inlineStr">
        <is>
          <t>KALIX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56190-2023 artfynd.xlsx", "A 56190-2023")</f>
        <v/>
      </c>
      <c r="T31">
        <f>HYPERLINK("https://klasma.github.io/Logging_2514/kartor/A 56190-2023 karta.png", "A 56190-2023")</f>
        <v/>
      </c>
      <c r="V31">
        <f>HYPERLINK("https://klasma.github.io/Logging_2514/klagomål/A 56190-2023 FSC-klagomål.docx", "A 56190-2023")</f>
        <v/>
      </c>
      <c r="W31">
        <f>HYPERLINK("https://klasma.github.io/Logging_2514/klagomålsmail/A 56190-2023 FSC-klagomål mail.docx", "A 56190-2023")</f>
        <v/>
      </c>
      <c r="X31">
        <f>HYPERLINK("https://klasma.github.io/Logging_2514/tillsyn/A 56190-2023 tillsynsbegäran.docx", "A 56190-2023")</f>
        <v/>
      </c>
      <c r="Y31">
        <f>HYPERLINK("https://klasma.github.io/Logging_2514/tillsynsmail/A 56190-2023 tillsynsbegäran mail.docx", "A 56190-2023")</f>
        <v/>
      </c>
    </row>
    <row r="32" ht="15" customHeight="1">
      <c r="A32" t="inlineStr">
        <is>
          <t>A 26255-2024</t>
        </is>
      </c>
      <c r="B32" s="1" t="n">
        <v>45468</v>
      </c>
      <c r="C32" s="1" t="n">
        <v>45660</v>
      </c>
      <c r="D32" t="inlineStr">
        <is>
          <t>NORRBOTTENS LÄN</t>
        </is>
      </c>
      <c r="E32" t="inlineStr">
        <is>
          <t>KALIX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HYPERLINK("https://klasma.github.io/Logging_2514/artfynd/A 26255-2024 artfynd.xlsx", "A 26255-2024")</f>
        <v/>
      </c>
      <c r="T32">
        <f>HYPERLINK("https://klasma.github.io/Logging_2514/kartor/A 26255-2024 karta.png", "A 26255-2024")</f>
        <v/>
      </c>
      <c r="V32">
        <f>HYPERLINK("https://klasma.github.io/Logging_2514/klagomål/A 26255-2024 FSC-klagomål.docx", "A 26255-2024")</f>
        <v/>
      </c>
      <c r="W32">
        <f>HYPERLINK("https://klasma.github.io/Logging_2514/klagomålsmail/A 26255-2024 FSC-klagomål mail.docx", "A 26255-2024")</f>
        <v/>
      </c>
      <c r="X32">
        <f>HYPERLINK("https://klasma.github.io/Logging_2514/tillsyn/A 26255-2024 tillsynsbegäran.docx", "A 26255-2024")</f>
        <v/>
      </c>
      <c r="Y32">
        <f>HYPERLINK("https://klasma.github.io/Logging_2514/tillsynsmail/A 26255-2024 tillsynsbegäran mail.docx", "A 26255-2024")</f>
        <v/>
      </c>
    </row>
    <row r="33" ht="15" customHeight="1">
      <c r="A33" t="inlineStr">
        <is>
          <t>A 39106-2024</t>
        </is>
      </c>
      <c r="B33" s="1" t="n">
        <v>45548</v>
      </c>
      <c r="C33" s="1" t="n">
        <v>45660</v>
      </c>
      <c r="D33" t="inlineStr">
        <is>
          <t>NORRBOTTENS LÄN</t>
        </is>
      </c>
      <c r="E33" t="inlineStr">
        <is>
          <t>KALIX</t>
        </is>
      </c>
      <c r="F33" t="inlineStr">
        <is>
          <t>Sveaskog</t>
        </is>
      </c>
      <c r="G33" t="n">
        <v>38.6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HYPERLINK("https://klasma.github.io/Logging_2514/artfynd/A 39106-2024 artfynd.xlsx", "A 39106-2024")</f>
        <v/>
      </c>
      <c r="T33">
        <f>HYPERLINK("https://klasma.github.io/Logging_2514/kartor/A 39106-2024 karta.png", "A 39106-2024")</f>
        <v/>
      </c>
      <c r="V33">
        <f>HYPERLINK("https://klasma.github.io/Logging_2514/klagomål/A 39106-2024 FSC-klagomål.docx", "A 39106-2024")</f>
        <v/>
      </c>
      <c r="W33">
        <f>HYPERLINK("https://klasma.github.io/Logging_2514/klagomålsmail/A 39106-2024 FSC-klagomål mail.docx", "A 39106-2024")</f>
        <v/>
      </c>
      <c r="X33">
        <f>HYPERLINK("https://klasma.github.io/Logging_2514/tillsyn/A 39106-2024 tillsynsbegäran.docx", "A 39106-2024")</f>
        <v/>
      </c>
      <c r="Y33">
        <f>HYPERLINK("https://klasma.github.io/Logging_2514/tillsynsmail/A 39106-2024 tillsynsbegäran mail.docx", "A 39106-2024")</f>
        <v/>
      </c>
    </row>
    <row r="34" ht="15" customHeight="1">
      <c r="A34" t="inlineStr">
        <is>
          <t>A 19599-2019</t>
        </is>
      </c>
      <c r="B34" s="1" t="n">
        <v>43566</v>
      </c>
      <c r="C34" s="1" t="n">
        <v>45660</v>
      </c>
      <c r="D34" t="inlineStr">
        <is>
          <t>NORRBOTTENS LÄN</t>
        </is>
      </c>
      <c r="E34" t="inlineStr">
        <is>
          <t>KALIX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19831-2019</t>
        </is>
      </c>
      <c r="B35" s="1" t="n">
        <v>43567</v>
      </c>
      <c r="C35" s="1" t="n">
        <v>45660</v>
      </c>
      <c r="D35" t="inlineStr">
        <is>
          <t>NORRBOTTENS LÄN</t>
        </is>
      </c>
      <c r="E35" t="inlineStr">
        <is>
          <t>KALIX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19827-2019</t>
        </is>
      </c>
      <c r="B36" s="1" t="n">
        <v>43567</v>
      </c>
      <c r="C36" s="1" t="n">
        <v>45660</v>
      </c>
      <c r="D36" t="inlineStr">
        <is>
          <t>NORRBOTTENS LÄN</t>
        </is>
      </c>
      <c r="E36" t="inlineStr">
        <is>
          <t>KALIX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21435-2019</t>
        </is>
      </c>
      <c r="B37" s="1" t="n">
        <v>43580</v>
      </c>
      <c r="C37" s="1" t="n">
        <v>45660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22311-2019</t>
        </is>
      </c>
      <c r="B38" s="1" t="n">
        <v>43586</v>
      </c>
      <c r="C38" s="1" t="n">
        <v>45660</v>
      </c>
      <c r="D38" t="inlineStr">
        <is>
          <t>NORRBOTTENS LÄN</t>
        </is>
      </c>
      <c r="E38" t="inlineStr">
        <is>
          <t>KALIX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22655-2019</t>
        </is>
      </c>
      <c r="B39" s="1" t="n">
        <v>43587</v>
      </c>
      <c r="C39" s="1" t="n">
        <v>45660</v>
      </c>
      <c r="D39" t="inlineStr">
        <is>
          <t>NORRBOTTENS LÄN</t>
        </is>
      </c>
      <c r="E39" t="inlineStr">
        <is>
          <t>KALIX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22886-2019</t>
        </is>
      </c>
      <c r="B40" s="1" t="n">
        <v>43591</v>
      </c>
      <c r="C40" s="1" t="n">
        <v>45660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22891-2019</t>
        </is>
      </c>
      <c r="B41" s="1" t="n">
        <v>43591</v>
      </c>
      <c r="C41" s="1" t="n">
        <v>45660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22885-2019</t>
        </is>
      </c>
      <c r="B42" s="1" t="n">
        <v>43591</v>
      </c>
      <c r="C42" s="1" t="n">
        <v>45660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22889-2019</t>
        </is>
      </c>
      <c r="B43" s="1" t="n">
        <v>43591</v>
      </c>
      <c r="C43" s="1" t="n">
        <v>45660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23083-2019</t>
        </is>
      </c>
      <c r="B44" s="1" t="n">
        <v>43591</v>
      </c>
      <c r="C44" s="1" t="n">
        <v>45660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22890-2019</t>
        </is>
      </c>
      <c r="B45" s="1" t="n">
        <v>43591</v>
      </c>
      <c r="C45" s="1" t="n">
        <v>45660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22883-2019</t>
        </is>
      </c>
      <c r="B46" s="1" t="n">
        <v>43591</v>
      </c>
      <c r="C46" s="1" t="n">
        <v>45660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22887-2019</t>
        </is>
      </c>
      <c r="B47" s="1" t="n">
        <v>43591</v>
      </c>
      <c r="C47" s="1" t="n">
        <v>45660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23162-2019</t>
        </is>
      </c>
      <c r="B48" s="1" t="n">
        <v>43592</v>
      </c>
      <c r="C48" s="1" t="n">
        <v>45660</v>
      </c>
      <c r="D48" t="inlineStr">
        <is>
          <t>NORRBOTTENS LÄN</t>
        </is>
      </c>
      <c r="E48" t="inlineStr">
        <is>
          <t>KALIX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24062-2019</t>
        </is>
      </c>
      <c r="B49" s="1" t="n">
        <v>43598</v>
      </c>
      <c r="C49" s="1" t="n">
        <v>45660</v>
      </c>
      <c r="D49" t="inlineStr">
        <is>
          <t>NORRBOTTENS LÄN</t>
        </is>
      </c>
      <c r="E49" t="inlineStr">
        <is>
          <t>KALIX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27123-2019</t>
        </is>
      </c>
      <c r="B50" s="1" t="n">
        <v>43608</v>
      </c>
      <c r="C50" s="1" t="n">
        <v>45660</v>
      </c>
      <c r="D50" t="inlineStr">
        <is>
          <t>NORRBOTTENS LÄN</t>
        </is>
      </c>
      <c r="E50" t="inlineStr">
        <is>
          <t>KALIX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27131-2019</t>
        </is>
      </c>
      <c r="B51" s="1" t="n">
        <v>43608</v>
      </c>
      <c r="C51" s="1" t="n">
        <v>45660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27257-2019</t>
        </is>
      </c>
      <c r="B52" s="1" t="n">
        <v>43614</v>
      </c>
      <c r="C52" s="1" t="n">
        <v>45660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28929-2019</t>
        </is>
      </c>
      <c r="B53" s="1" t="n">
        <v>43619</v>
      </c>
      <c r="C53" s="1" t="n">
        <v>45660</v>
      </c>
      <c r="D53" t="inlineStr">
        <is>
          <t>NORRBOTTENS LÄN</t>
        </is>
      </c>
      <c r="E53" t="inlineStr">
        <is>
          <t>KALIX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28031-2019</t>
        </is>
      </c>
      <c r="B54" s="1" t="n">
        <v>43621</v>
      </c>
      <c r="C54" s="1" t="n">
        <v>45660</v>
      </c>
      <c r="D54" t="inlineStr">
        <is>
          <t>NORRBOTTENS LÄN</t>
        </is>
      </c>
      <c r="E54" t="inlineStr">
        <is>
          <t>KALIX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31645-2019</t>
        </is>
      </c>
      <c r="B55" s="1" t="n">
        <v>43640</v>
      </c>
      <c r="C55" s="1" t="n">
        <v>45660</v>
      </c>
      <c r="D55" t="inlineStr">
        <is>
          <t>NORRBOTTENS LÄN</t>
        </is>
      </c>
      <c r="E55" t="inlineStr">
        <is>
          <t>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32371-2019</t>
        </is>
      </c>
      <c r="B56" s="1" t="n">
        <v>43644</v>
      </c>
      <c r="C56" s="1" t="n">
        <v>45660</v>
      </c>
      <c r="D56" t="inlineStr">
        <is>
          <t>NORRBOTTENS LÄN</t>
        </is>
      </c>
      <c r="E56" t="inlineStr">
        <is>
          <t>KALIX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35471-2019</t>
        </is>
      </c>
      <c r="B57" s="1" t="n">
        <v>43651</v>
      </c>
      <c r="C57" s="1" t="n">
        <v>45660</v>
      </c>
      <c r="D57" t="inlineStr">
        <is>
          <t>NORRBOTTENS LÄN</t>
        </is>
      </c>
      <c r="E57" t="inlineStr">
        <is>
          <t>KALIX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35403-2019</t>
        </is>
      </c>
      <c r="B58" s="1" t="n">
        <v>43651</v>
      </c>
      <c r="C58" s="1" t="n">
        <v>45660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36515-2019</t>
        </is>
      </c>
      <c r="B59" s="1" t="n">
        <v>43668</v>
      </c>
      <c r="C59" s="1" t="n">
        <v>45660</v>
      </c>
      <c r="D59" t="inlineStr">
        <is>
          <t>NORRBOTTENS LÄN</t>
        </is>
      </c>
      <c r="E59" t="inlineStr">
        <is>
          <t>KALIX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36514-2019</t>
        </is>
      </c>
      <c r="B60" s="1" t="n">
        <v>43668</v>
      </c>
      <c r="C60" s="1" t="n">
        <v>45660</v>
      </c>
      <c r="D60" t="inlineStr">
        <is>
          <t>NORRBOTTENS LÄN</t>
        </is>
      </c>
      <c r="E60" t="inlineStr">
        <is>
          <t>KALIX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37637-2019</t>
        </is>
      </c>
      <c r="B61" s="1" t="n">
        <v>43679</v>
      </c>
      <c r="C61" s="1" t="n">
        <v>45660</v>
      </c>
      <c r="D61" t="inlineStr">
        <is>
          <t>NORRBOTTENS LÄN</t>
        </is>
      </c>
      <c r="E61" t="inlineStr">
        <is>
          <t>KALIX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38549-2019</t>
        </is>
      </c>
      <c r="B62" s="1" t="n">
        <v>43685</v>
      </c>
      <c r="C62" s="1" t="n">
        <v>45660</v>
      </c>
      <c r="D62" t="inlineStr">
        <is>
          <t>NORRBOTTENS LÄN</t>
        </is>
      </c>
      <c r="E62" t="inlineStr">
        <is>
          <t>KALIX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39530-2019</t>
        </is>
      </c>
      <c r="B63" s="1" t="n">
        <v>43686</v>
      </c>
      <c r="C63" s="1" t="n">
        <v>45660</v>
      </c>
      <c r="D63" t="inlineStr">
        <is>
          <t>NORRBOTTENS LÄN</t>
        </is>
      </c>
      <c r="E63" t="inlineStr">
        <is>
          <t>KALIX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39532-2019</t>
        </is>
      </c>
      <c r="B64" s="1" t="n">
        <v>43686</v>
      </c>
      <c r="C64" s="1" t="n">
        <v>45660</v>
      </c>
      <c r="D64" t="inlineStr">
        <is>
          <t>NORRBOTTENS LÄN</t>
        </is>
      </c>
      <c r="E64" t="inlineStr">
        <is>
          <t>KALIX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40905-2019</t>
        </is>
      </c>
      <c r="B65" s="1" t="n">
        <v>43693</v>
      </c>
      <c r="C65" s="1" t="n">
        <v>45660</v>
      </c>
      <c r="D65" t="inlineStr">
        <is>
          <t>NORRBOTTENS LÄN</t>
        </is>
      </c>
      <c r="E65" t="inlineStr">
        <is>
          <t>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40726-2019</t>
        </is>
      </c>
      <c r="B66" s="1" t="n">
        <v>43697</v>
      </c>
      <c r="C66" s="1" t="n">
        <v>45660</v>
      </c>
      <c r="D66" t="inlineStr">
        <is>
          <t>NORRBOTTENS LÄN</t>
        </is>
      </c>
      <c r="E66" t="inlineStr">
        <is>
          <t>KALIX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45373-2019</t>
        </is>
      </c>
      <c r="B67" s="1" t="n">
        <v>43710</v>
      </c>
      <c r="C67" s="1" t="n">
        <v>45660</v>
      </c>
      <c r="D67" t="inlineStr">
        <is>
          <t>NORRBOTTENS LÄN</t>
        </is>
      </c>
      <c r="E67" t="inlineStr">
        <is>
          <t>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45333-2019</t>
        </is>
      </c>
      <c r="B68" s="1" t="n">
        <v>43710</v>
      </c>
      <c r="C68" s="1" t="n">
        <v>45660</v>
      </c>
      <c r="D68" t="inlineStr">
        <is>
          <t>NORRBOTTENS LÄN</t>
        </is>
      </c>
      <c r="E68" t="inlineStr">
        <is>
          <t>KALIX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45377-2019</t>
        </is>
      </c>
      <c r="B69" s="1" t="n">
        <v>43710</v>
      </c>
      <c r="C69" s="1" t="n">
        <v>45660</v>
      </c>
      <c r="D69" t="inlineStr">
        <is>
          <t>NORRBOTTENS LÄN</t>
        </is>
      </c>
      <c r="E69" t="inlineStr">
        <is>
          <t>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46004-2019</t>
        </is>
      </c>
      <c r="B70" s="1" t="n">
        <v>43713</v>
      </c>
      <c r="C70" s="1" t="n">
        <v>45660</v>
      </c>
      <c r="D70" t="inlineStr">
        <is>
          <t>NORRBOTTENS LÄN</t>
        </is>
      </c>
      <c r="E70" t="inlineStr">
        <is>
          <t>KALIX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46437-2019</t>
        </is>
      </c>
      <c r="B71" s="1" t="n">
        <v>43717</v>
      </c>
      <c r="C71" s="1" t="n">
        <v>45660</v>
      </c>
      <c r="D71" t="inlineStr">
        <is>
          <t>NORRBOTTENS LÄN</t>
        </is>
      </c>
      <c r="E71" t="inlineStr">
        <is>
          <t>KALIX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47155-2019</t>
        </is>
      </c>
      <c r="B72" s="1" t="n">
        <v>43720</v>
      </c>
      <c r="C72" s="1" t="n">
        <v>45660</v>
      </c>
      <c r="D72" t="inlineStr">
        <is>
          <t>NORRBOTTENS LÄN</t>
        </is>
      </c>
      <c r="E72" t="inlineStr">
        <is>
          <t>KALIX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47566-2019</t>
        </is>
      </c>
      <c r="B73" s="1" t="n">
        <v>43724</v>
      </c>
      <c r="C73" s="1" t="n">
        <v>45660</v>
      </c>
      <c r="D73" t="inlineStr">
        <is>
          <t>NORRBOTTENS LÄN</t>
        </is>
      </c>
      <c r="E73" t="inlineStr">
        <is>
          <t>KALIX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52477-2019</t>
        </is>
      </c>
      <c r="B74" s="1" t="n">
        <v>43745</v>
      </c>
      <c r="C74" s="1" t="n">
        <v>45660</v>
      </c>
      <c r="D74" t="inlineStr">
        <is>
          <t>NORRBOTTENS LÄN</t>
        </is>
      </c>
      <c r="E74" t="inlineStr">
        <is>
          <t>KALIX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54749-2019</t>
        </is>
      </c>
      <c r="B75" s="1" t="n">
        <v>43748</v>
      </c>
      <c r="C75" s="1" t="n">
        <v>45660</v>
      </c>
      <c r="D75" t="inlineStr">
        <is>
          <t>NORRBOTTENS LÄN</t>
        </is>
      </c>
      <c r="E75" t="inlineStr">
        <is>
          <t>KALIX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56967-2019</t>
        </is>
      </c>
      <c r="B76" s="1" t="n">
        <v>43759</v>
      </c>
      <c r="C76" s="1" t="n">
        <v>45660</v>
      </c>
      <c r="D76" t="inlineStr">
        <is>
          <t>NORRBOTTENS LÄN</t>
        </is>
      </c>
      <c r="E76" t="inlineStr">
        <is>
          <t>KALIX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56999-2019</t>
        </is>
      </c>
      <c r="B77" s="1" t="n">
        <v>43759</v>
      </c>
      <c r="C77" s="1" t="n">
        <v>45660</v>
      </c>
      <c r="D77" t="inlineStr">
        <is>
          <t>NORRBOTTENS LÄN</t>
        </is>
      </c>
      <c r="E77" t="inlineStr">
        <is>
          <t>KALIX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57195-2019</t>
        </is>
      </c>
      <c r="B78" s="1" t="n">
        <v>43759</v>
      </c>
      <c r="C78" s="1" t="n">
        <v>45660</v>
      </c>
      <c r="D78" t="inlineStr">
        <is>
          <t>NORRBOTTENS LÄN</t>
        </is>
      </c>
      <c r="E78" t="inlineStr">
        <is>
          <t>KALIX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56161-2019</t>
        </is>
      </c>
      <c r="B79" s="1" t="n">
        <v>43761</v>
      </c>
      <c r="C79" s="1" t="n">
        <v>45660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56718-2019</t>
        </is>
      </c>
      <c r="B80" s="1" t="n">
        <v>43763</v>
      </c>
      <c r="C80" s="1" t="n">
        <v>45660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58493-2019</t>
        </is>
      </c>
      <c r="B81" s="1" t="n">
        <v>43766</v>
      </c>
      <c r="C81" s="1" t="n">
        <v>45660</v>
      </c>
      <c r="D81" t="inlineStr">
        <is>
          <t>NORRBOTTENS LÄN</t>
        </is>
      </c>
      <c r="E81" t="inlineStr">
        <is>
          <t>KALIX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57530-2019</t>
        </is>
      </c>
      <c r="B82" s="1" t="n">
        <v>43767</v>
      </c>
      <c r="C82" s="1" t="n">
        <v>45660</v>
      </c>
      <c r="D82" t="inlineStr">
        <is>
          <t>NORRBOTTENS LÄN</t>
        </is>
      </c>
      <c r="E82" t="inlineStr">
        <is>
          <t>KALIX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58393-2019</t>
        </is>
      </c>
      <c r="B83" s="1" t="n">
        <v>43772</v>
      </c>
      <c r="C83" s="1" t="n">
        <v>45660</v>
      </c>
      <c r="D83" t="inlineStr">
        <is>
          <t>NORRBOTTENS LÄN</t>
        </is>
      </c>
      <c r="E83" t="inlineStr">
        <is>
          <t>KALIX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58632-2019</t>
        </is>
      </c>
      <c r="B84" s="1" t="n">
        <v>43773</v>
      </c>
      <c r="C84" s="1" t="n">
        <v>45660</v>
      </c>
      <c r="D84" t="inlineStr">
        <is>
          <t>NORRBOTTENS LÄN</t>
        </is>
      </c>
      <c r="E84" t="inlineStr">
        <is>
          <t>KALIX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61611-2019</t>
        </is>
      </c>
      <c r="B85" s="1" t="n">
        <v>43784</v>
      </c>
      <c r="C85" s="1" t="n">
        <v>45660</v>
      </c>
      <c r="D85" t="inlineStr">
        <is>
          <t>NORRBOTTENS LÄN</t>
        </is>
      </c>
      <c r="E85" t="inlineStr">
        <is>
          <t>KALIX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62718-2019</t>
        </is>
      </c>
      <c r="B86" s="1" t="n">
        <v>43789</v>
      </c>
      <c r="C86" s="1" t="n">
        <v>45660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62721-2019</t>
        </is>
      </c>
      <c r="B87" s="1" t="n">
        <v>43789</v>
      </c>
      <c r="C87" s="1" t="n">
        <v>45660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63699-2019</t>
        </is>
      </c>
      <c r="B88" s="1" t="n">
        <v>43795</v>
      </c>
      <c r="C88" s="1" t="n">
        <v>45660</v>
      </c>
      <c r="D88" t="inlineStr">
        <is>
          <t>NORRBOTTENS LÄN</t>
        </is>
      </c>
      <c r="E88" t="inlineStr">
        <is>
          <t>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65250-2019</t>
        </is>
      </c>
      <c r="B89" s="1" t="n">
        <v>43797</v>
      </c>
      <c r="C89" s="1" t="n">
        <v>45660</v>
      </c>
      <c r="D89" t="inlineStr">
        <is>
          <t>NORRBOTTENS LÄN</t>
        </is>
      </c>
      <c r="E89" t="inlineStr">
        <is>
          <t>KALIX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65009-2019</t>
        </is>
      </c>
      <c r="B90" s="1" t="n">
        <v>43801</v>
      </c>
      <c r="C90" s="1" t="n">
        <v>45660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66521-2019</t>
        </is>
      </c>
      <c r="B91" s="1" t="n">
        <v>43803</v>
      </c>
      <c r="C91" s="1" t="n">
        <v>45660</v>
      </c>
      <c r="D91" t="inlineStr">
        <is>
          <t>NORRBOTTENS LÄN</t>
        </is>
      </c>
      <c r="E91" t="inlineStr">
        <is>
          <t>KALIX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66522-2019</t>
        </is>
      </c>
      <c r="B92" s="1" t="n">
        <v>43803</v>
      </c>
      <c r="C92" s="1" t="n">
        <v>45660</v>
      </c>
      <c r="D92" t="inlineStr">
        <is>
          <t>NORRBOTTENS LÄN</t>
        </is>
      </c>
      <c r="E92" t="inlineStr">
        <is>
          <t>KALIX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66486-2019</t>
        </is>
      </c>
      <c r="B93" s="1" t="n">
        <v>43803</v>
      </c>
      <c r="C93" s="1" t="n">
        <v>45660</v>
      </c>
      <c r="D93" t="inlineStr">
        <is>
          <t>NORRBOTTENS LÄN</t>
        </is>
      </c>
      <c r="E93" t="inlineStr">
        <is>
          <t>KALIX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67252-2019</t>
        </is>
      </c>
      <c r="B94" s="1" t="n">
        <v>43808</v>
      </c>
      <c r="C94" s="1" t="n">
        <v>45660</v>
      </c>
      <c r="D94" t="inlineStr">
        <is>
          <t>NORRBOTTENS LÄN</t>
        </is>
      </c>
      <c r="E94" t="inlineStr">
        <is>
          <t>KALIX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68009-2019</t>
        </is>
      </c>
      <c r="B95" s="1" t="n">
        <v>43816</v>
      </c>
      <c r="C95" s="1" t="n">
        <v>45660</v>
      </c>
      <c r="D95" t="inlineStr">
        <is>
          <t>NORRBOTTENS LÄN</t>
        </is>
      </c>
      <c r="E95" t="inlineStr">
        <is>
          <t>KALIX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68730-2019</t>
        </is>
      </c>
      <c r="B96" s="1" t="n">
        <v>43819</v>
      </c>
      <c r="C96" s="1" t="n">
        <v>45660</v>
      </c>
      <c r="D96" t="inlineStr">
        <is>
          <t>NORRBOTTENS LÄN</t>
        </is>
      </c>
      <c r="E96" t="inlineStr">
        <is>
          <t>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68766-2019</t>
        </is>
      </c>
      <c r="B97" s="1" t="n">
        <v>43819</v>
      </c>
      <c r="C97" s="1" t="n">
        <v>45660</v>
      </c>
      <c r="D97" t="inlineStr">
        <is>
          <t>NORRBOTTENS LÄN</t>
        </is>
      </c>
      <c r="E97" t="inlineStr">
        <is>
          <t>KALIX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1082-2020</t>
        </is>
      </c>
      <c r="B98" s="1" t="n">
        <v>43822</v>
      </c>
      <c r="C98" s="1" t="n">
        <v>45660</v>
      </c>
      <c r="D98" t="inlineStr">
        <is>
          <t>NORRBOTTENS LÄN</t>
        </is>
      </c>
      <c r="E98" t="inlineStr">
        <is>
          <t>KALIX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1092-2020</t>
        </is>
      </c>
      <c r="B99" s="1" t="n">
        <v>43822</v>
      </c>
      <c r="C99" s="1" t="n">
        <v>45660</v>
      </c>
      <c r="D99" t="inlineStr">
        <is>
          <t>NORRBOTTENS LÄN</t>
        </is>
      </c>
      <c r="E99" t="inlineStr">
        <is>
          <t>KALIX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69070-2019</t>
        </is>
      </c>
      <c r="B100" s="1" t="n">
        <v>43827</v>
      </c>
      <c r="C100" s="1" t="n">
        <v>45660</v>
      </c>
      <c r="D100" t="inlineStr">
        <is>
          <t>NORRBOTTENS LÄN</t>
        </is>
      </c>
      <c r="E100" t="inlineStr">
        <is>
          <t>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1402-2020</t>
        </is>
      </c>
      <c r="B101" s="1" t="n">
        <v>43843</v>
      </c>
      <c r="C101" s="1" t="n">
        <v>45660</v>
      </c>
      <c r="D101" t="inlineStr">
        <is>
          <t>NORRBOTTENS LÄN</t>
        </is>
      </c>
      <c r="E101" t="inlineStr">
        <is>
          <t>KALIX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1849-2020</t>
        </is>
      </c>
      <c r="B102" s="1" t="n">
        <v>43844</v>
      </c>
      <c r="C102" s="1" t="n">
        <v>45660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2946-2020</t>
        </is>
      </c>
      <c r="B103" s="1" t="n">
        <v>43850</v>
      </c>
      <c r="C103" s="1" t="n">
        <v>45660</v>
      </c>
      <c r="D103" t="inlineStr">
        <is>
          <t>NORRBOTTENS LÄN</t>
        </is>
      </c>
      <c r="E103" t="inlineStr">
        <is>
          <t>KALIX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5892-2020</t>
        </is>
      </c>
      <c r="B104" s="1" t="n">
        <v>43861</v>
      </c>
      <c r="C104" s="1" t="n">
        <v>45660</v>
      </c>
      <c r="D104" t="inlineStr">
        <is>
          <t>NORRBOTTENS LÄN</t>
        </is>
      </c>
      <c r="E104" t="inlineStr">
        <is>
          <t>KALIX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6093-2020</t>
        </is>
      </c>
      <c r="B105" s="1" t="n">
        <v>43864</v>
      </c>
      <c r="C105" s="1" t="n">
        <v>45660</v>
      </c>
      <c r="D105" t="inlineStr">
        <is>
          <t>NORRBOTTENS LÄN</t>
        </is>
      </c>
      <c r="E105" t="inlineStr">
        <is>
          <t>KALIX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6218-2020</t>
        </is>
      </c>
      <c r="B106" s="1" t="n">
        <v>43865</v>
      </c>
      <c r="C106" s="1" t="n">
        <v>45660</v>
      </c>
      <c r="D106" t="inlineStr">
        <is>
          <t>NORRBOTTENS LÄN</t>
        </is>
      </c>
      <c r="E106" t="inlineStr">
        <is>
          <t>KALIX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6350-2020</t>
        </is>
      </c>
      <c r="B107" s="1" t="n">
        <v>43866</v>
      </c>
      <c r="C107" s="1" t="n">
        <v>45660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7525-2020</t>
        </is>
      </c>
      <c r="B108" s="1" t="n">
        <v>43872</v>
      </c>
      <c r="C108" s="1" t="n">
        <v>45660</v>
      </c>
      <c r="D108" t="inlineStr">
        <is>
          <t>NORRBOTTENS LÄN</t>
        </is>
      </c>
      <c r="E108" t="inlineStr">
        <is>
          <t>KALIX</t>
        </is>
      </c>
      <c r="F108" t="inlineStr">
        <is>
          <t>Övriga statliga verk och myndigheter</t>
        </is>
      </c>
      <c r="G108" t="n">
        <v>29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12438-2020</t>
        </is>
      </c>
      <c r="B109" s="1" t="n">
        <v>43892</v>
      </c>
      <c r="C109" s="1" t="n">
        <v>45660</v>
      </c>
      <c r="D109" t="inlineStr">
        <is>
          <t>NORRBOTTENS LÄN</t>
        </is>
      </c>
      <c r="E109" t="inlineStr">
        <is>
          <t>KALIX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11584-2020</t>
        </is>
      </c>
      <c r="B110" s="1" t="n">
        <v>43893</v>
      </c>
      <c r="C110" s="1" t="n">
        <v>45660</v>
      </c>
      <c r="D110" t="inlineStr">
        <is>
          <t>NORRBOTTENS LÄN</t>
        </is>
      </c>
      <c r="E110" t="inlineStr">
        <is>
          <t>KALIX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12328-2020</t>
        </is>
      </c>
      <c r="B111" s="1" t="n">
        <v>43895</v>
      </c>
      <c r="C111" s="1" t="n">
        <v>45660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12332-2020</t>
        </is>
      </c>
      <c r="B112" s="1" t="n">
        <v>43895</v>
      </c>
      <c r="C112" s="1" t="n">
        <v>45660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12327-2020</t>
        </is>
      </c>
      <c r="B113" s="1" t="n">
        <v>43895</v>
      </c>
      <c r="C113" s="1" t="n">
        <v>45660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12331-2020</t>
        </is>
      </c>
      <c r="B114" s="1" t="n">
        <v>43895</v>
      </c>
      <c r="C114" s="1" t="n">
        <v>45660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12329-2020</t>
        </is>
      </c>
      <c r="B115" s="1" t="n">
        <v>43895</v>
      </c>
      <c r="C115" s="1" t="n">
        <v>45660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12334-2020</t>
        </is>
      </c>
      <c r="B116" s="1" t="n">
        <v>43895</v>
      </c>
      <c r="C116" s="1" t="n">
        <v>45660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12330-2020</t>
        </is>
      </c>
      <c r="B117" s="1" t="n">
        <v>43895</v>
      </c>
      <c r="C117" s="1" t="n">
        <v>45660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12521-2020</t>
        </is>
      </c>
      <c r="B118" s="1" t="n">
        <v>43896</v>
      </c>
      <c r="C118" s="1" t="n">
        <v>45660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14479-2020</t>
        </is>
      </c>
      <c r="B119" s="1" t="n">
        <v>43901</v>
      </c>
      <c r="C119" s="1" t="n">
        <v>45660</v>
      </c>
      <c r="D119" t="inlineStr">
        <is>
          <t>NORRBOTTENS LÄN</t>
        </is>
      </c>
      <c r="E119" t="inlineStr">
        <is>
          <t>KALIX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14473-2020</t>
        </is>
      </c>
      <c r="B120" s="1" t="n">
        <v>43901</v>
      </c>
      <c r="C120" s="1" t="n">
        <v>45660</v>
      </c>
      <c r="D120" t="inlineStr">
        <is>
          <t>NORRBOTTENS LÄN</t>
        </is>
      </c>
      <c r="E120" t="inlineStr">
        <is>
          <t>KALIX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14912-2020</t>
        </is>
      </c>
      <c r="B121" s="1" t="n">
        <v>43906</v>
      </c>
      <c r="C121" s="1" t="n">
        <v>45660</v>
      </c>
      <c r="D121" t="inlineStr">
        <is>
          <t>NORRBOTTENS LÄN</t>
        </is>
      </c>
      <c r="E121" t="inlineStr">
        <is>
          <t>KALIX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15895-2020</t>
        </is>
      </c>
      <c r="B122" s="1" t="n">
        <v>43915</v>
      </c>
      <c r="C122" s="1" t="n">
        <v>45660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15932-2020</t>
        </is>
      </c>
      <c r="B123" s="1" t="n">
        <v>43916</v>
      </c>
      <c r="C123" s="1" t="n">
        <v>45660</v>
      </c>
      <c r="D123" t="inlineStr">
        <is>
          <t>NORRBOTTENS LÄN</t>
        </is>
      </c>
      <c r="E123" t="inlineStr">
        <is>
          <t>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17438-2020</t>
        </is>
      </c>
      <c r="B124" s="1" t="n">
        <v>43917</v>
      </c>
      <c r="C124" s="1" t="n">
        <v>45660</v>
      </c>
      <c r="D124" t="inlineStr">
        <is>
          <t>NORRBOTTENS LÄN</t>
        </is>
      </c>
      <c r="E124" t="inlineStr">
        <is>
          <t>KALIX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17696-2020</t>
        </is>
      </c>
      <c r="B125" s="1" t="n">
        <v>43923</v>
      </c>
      <c r="C125" s="1" t="n">
        <v>45660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66.59999999999999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19674-2020</t>
        </is>
      </c>
      <c r="B126" s="1" t="n">
        <v>43941</v>
      </c>
      <c r="C126" s="1" t="n">
        <v>45660</v>
      </c>
      <c r="D126" t="inlineStr">
        <is>
          <t>NORRBOTTENS LÄN</t>
        </is>
      </c>
      <c r="E126" t="inlineStr">
        <is>
          <t>KALIX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22175-2020</t>
        </is>
      </c>
      <c r="B127" s="1" t="n">
        <v>43956</v>
      </c>
      <c r="C127" s="1" t="n">
        <v>45660</v>
      </c>
      <c r="D127" t="inlineStr">
        <is>
          <t>NORRBOTTENS LÄN</t>
        </is>
      </c>
      <c r="E127" t="inlineStr">
        <is>
          <t>KALIX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23063-2020</t>
        </is>
      </c>
      <c r="B128" s="1" t="n">
        <v>43965</v>
      </c>
      <c r="C128" s="1" t="n">
        <v>45660</v>
      </c>
      <c r="D128" t="inlineStr">
        <is>
          <t>NORRBOTTENS LÄN</t>
        </is>
      </c>
      <c r="E128" t="inlineStr">
        <is>
          <t>KALIX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24385-2020</t>
        </is>
      </c>
      <c r="B129" s="1" t="n">
        <v>43970</v>
      </c>
      <c r="C129" s="1" t="n">
        <v>45660</v>
      </c>
      <c r="D129" t="inlineStr">
        <is>
          <t>NORRBOTTENS LÄN</t>
        </is>
      </c>
      <c r="E129" t="inlineStr">
        <is>
          <t>KALIX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26076-2020</t>
        </is>
      </c>
      <c r="B130" s="1" t="n">
        <v>43985</v>
      </c>
      <c r="C130" s="1" t="n">
        <v>45660</v>
      </c>
      <c r="D130" t="inlineStr">
        <is>
          <t>NORRBOTTENS LÄN</t>
        </is>
      </c>
      <c r="E130" t="inlineStr">
        <is>
          <t>KALIX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26588-2020</t>
        </is>
      </c>
      <c r="B131" s="1" t="n">
        <v>43986</v>
      </c>
      <c r="C131" s="1" t="n">
        <v>45660</v>
      </c>
      <c r="D131" t="inlineStr">
        <is>
          <t>NORRBOTTENS LÄN</t>
        </is>
      </c>
      <c r="E131" t="inlineStr">
        <is>
          <t>KALIX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27552-2020</t>
        </is>
      </c>
      <c r="B132" s="1" t="n">
        <v>43991</v>
      </c>
      <c r="C132" s="1" t="n">
        <v>45660</v>
      </c>
      <c r="D132" t="inlineStr">
        <is>
          <t>NORRBOTTENS LÄN</t>
        </is>
      </c>
      <c r="E132" t="inlineStr">
        <is>
          <t>KALIX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29627-2020</t>
        </is>
      </c>
      <c r="B133" s="1" t="n">
        <v>44005</v>
      </c>
      <c r="C133" s="1" t="n">
        <v>45660</v>
      </c>
      <c r="D133" t="inlineStr">
        <is>
          <t>NORRBOTTENS LÄN</t>
        </is>
      </c>
      <c r="E133" t="inlineStr">
        <is>
          <t>KALIX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30276-2020</t>
        </is>
      </c>
      <c r="B134" s="1" t="n">
        <v>44007</v>
      </c>
      <c r="C134" s="1" t="n">
        <v>45660</v>
      </c>
      <c r="D134" t="inlineStr">
        <is>
          <t>NORRBOTTENS LÄN</t>
        </is>
      </c>
      <c r="E134" t="inlineStr">
        <is>
          <t>KALIX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30535-2020</t>
        </is>
      </c>
      <c r="B135" s="1" t="n">
        <v>44007</v>
      </c>
      <c r="C135" s="1" t="n">
        <v>45660</v>
      </c>
      <c r="D135" t="inlineStr">
        <is>
          <t>NORRBOTTENS LÄN</t>
        </is>
      </c>
      <c r="E135" t="inlineStr">
        <is>
          <t>KALIX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31412-2020</t>
        </is>
      </c>
      <c r="B136" s="1" t="n">
        <v>44012</v>
      </c>
      <c r="C136" s="1" t="n">
        <v>45660</v>
      </c>
      <c r="D136" t="inlineStr">
        <is>
          <t>NORRBOTTENS LÄN</t>
        </is>
      </c>
      <c r="E136" t="inlineStr">
        <is>
          <t>KALIX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31544-2020</t>
        </is>
      </c>
      <c r="B137" s="1" t="n">
        <v>44013</v>
      </c>
      <c r="C137" s="1" t="n">
        <v>45660</v>
      </c>
      <c r="D137" t="inlineStr">
        <is>
          <t>NORRBOTTENS LÄN</t>
        </is>
      </c>
      <c r="E137" t="inlineStr">
        <is>
          <t>KALIX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32381-2020</t>
        </is>
      </c>
      <c r="B138" s="1" t="n">
        <v>44018</v>
      </c>
      <c r="C138" s="1" t="n">
        <v>45660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32679-2020</t>
        </is>
      </c>
      <c r="B139" s="1" t="n">
        <v>44018</v>
      </c>
      <c r="C139" s="1" t="n">
        <v>45660</v>
      </c>
      <c r="D139" t="inlineStr">
        <is>
          <t>NORRBOTTENS LÄN</t>
        </is>
      </c>
      <c r="E139" t="inlineStr">
        <is>
          <t>KALIX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32683-2020</t>
        </is>
      </c>
      <c r="B140" s="1" t="n">
        <v>44018</v>
      </c>
      <c r="C140" s="1" t="n">
        <v>45660</v>
      </c>
      <c r="D140" t="inlineStr">
        <is>
          <t>NORRBOTTENS LÄN</t>
        </is>
      </c>
      <c r="E140" t="inlineStr">
        <is>
          <t>KALIX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36530-2020</t>
        </is>
      </c>
      <c r="B141" s="1" t="n">
        <v>44050</v>
      </c>
      <c r="C141" s="1" t="n">
        <v>45660</v>
      </c>
      <c r="D141" t="inlineStr">
        <is>
          <t>NORRBOTTENS LÄN</t>
        </is>
      </c>
      <c r="E141" t="inlineStr">
        <is>
          <t>KALIX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37195-2020</t>
        </is>
      </c>
      <c r="B142" s="1" t="n">
        <v>44054</v>
      </c>
      <c r="C142" s="1" t="n">
        <v>45660</v>
      </c>
      <c r="D142" t="inlineStr">
        <is>
          <t>NORRBOTTENS LÄN</t>
        </is>
      </c>
      <c r="E142" t="inlineStr">
        <is>
          <t>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38733-2020</t>
        </is>
      </c>
      <c r="B143" s="1" t="n">
        <v>44061</v>
      </c>
      <c r="C143" s="1" t="n">
        <v>45660</v>
      </c>
      <c r="D143" t="inlineStr">
        <is>
          <t>NORRBOTTENS LÄN</t>
        </is>
      </c>
      <c r="E143" t="inlineStr">
        <is>
          <t>KALIX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39416-2020</t>
        </is>
      </c>
      <c r="B144" s="1" t="n">
        <v>44064</v>
      </c>
      <c r="C144" s="1" t="n">
        <v>45660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42704-2020</t>
        </is>
      </c>
      <c r="B145" s="1" t="n">
        <v>44077</v>
      </c>
      <c r="C145" s="1" t="n">
        <v>45660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44294-2020</t>
        </is>
      </c>
      <c r="B146" s="1" t="n">
        <v>44084</v>
      </c>
      <c r="C146" s="1" t="n">
        <v>45660</v>
      </c>
      <c r="D146" t="inlineStr">
        <is>
          <t>NORRBOTTENS LÄN</t>
        </is>
      </c>
      <c r="E146" t="inlineStr">
        <is>
          <t>KALIX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45353-2020</t>
        </is>
      </c>
      <c r="B147" s="1" t="n">
        <v>44085</v>
      </c>
      <c r="C147" s="1" t="n">
        <v>45660</v>
      </c>
      <c r="D147" t="inlineStr">
        <is>
          <t>NORRBOTTENS LÄN</t>
        </is>
      </c>
      <c r="E147" t="inlineStr">
        <is>
          <t>KALIX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45916-2020</t>
        </is>
      </c>
      <c r="B148" s="1" t="n">
        <v>44088</v>
      </c>
      <c r="C148" s="1" t="n">
        <v>45660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48547-2020</t>
        </is>
      </c>
      <c r="B149" s="1" t="n">
        <v>44098</v>
      </c>
      <c r="C149" s="1" t="n">
        <v>45660</v>
      </c>
      <c r="D149" t="inlineStr">
        <is>
          <t>NORRBOTTENS LÄN</t>
        </is>
      </c>
      <c r="E149" t="inlineStr">
        <is>
          <t>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48544-2020</t>
        </is>
      </c>
      <c r="B150" s="1" t="n">
        <v>44098</v>
      </c>
      <c r="C150" s="1" t="n">
        <v>45660</v>
      </c>
      <c r="D150" t="inlineStr">
        <is>
          <t>NORRBOTTENS LÄN</t>
        </is>
      </c>
      <c r="E150" t="inlineStr">
        <is>
          <t>KALIX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49210-2020</t>
        </is>
      </c>
      <c r="B151" s="1" t="n">
        <v>44099</v>
      </c>
      <c r="C151" s="1" t="n">
        <v>45660</v>
      </c>
      <c r="D151" t="inlineStr">
        <is>
          <t>NORRBOTTENS LÄN</t>
        </is>
      </c>
      <c r="E151" t="inlineStr">
        <is>
          <t>KALIX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50054-2020</t>
        </is>
      </c>
      <c r="B152" s="1" t="n">
        <v>44104</v>
      </c>
      <c r="C152" s="1" t="n">
        <v>45660</v>
      </c>
      <c r="D152" t="inlineStr">
        <is>
          <t>NORRBOTTENS LÄN</t>
        </is>
      </c>
      <c r="E152" t="inlineStr">
        <is>
          <t>KALIX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50619-2020</t>
        </is>
      </c>
      <c r="B153" s="1" t="n">
        <v>44110</v>
      </c>
      <c r="C153" s="1" t="n">
        <v>45660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51020-2020</t>
        </is>
      </c>
      <c r="B154" s="1" t="n">
        <v>44112</v>
      </c>
      <c r="C154" s="1" t="n">
        <v>45660</v>
      </c>
      <c r="D154" t="inlineStr">
        <is>
          <t>NORRBOTTENS LÄN</t>
        </is>
      </c>
      <c r="E154" t="inlineStr">
        <is>
          <t>KALIX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55098-2020</t>
        </is>
      </c>
      <c r="B155" s="1" t="n">
        <v>44130</v>
      </c>
      <c r="C155" s="1" t="n">
        <v>45660</v>
      </c>
      <c r="D155" t="inlineStr">
        <is>
          <t>NORRBOTTENS LÄN</t>
        </is>
      </c>
      <c r="E155" t="inlineStr">
        <is>
          <t>KALIX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55105-2020</t>
        </is>
      </c>
      <c r="B156" s="1" t="n">
        <v>44130</v>
      </c>
      <c r="C156" s="1" t="n">
        <v>45660</v>
      </c>
      <c r="D156" t="inlineStr">
        <is>
          <t>NORRBOTTENS LÄN</t>
        </is>
      </c>
      <c r="E156" t="inlineStr">
        <is>
          <t>KALIX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55300-2020</t>
        </is>
      </c>
      <c r="B157" s="1" t="n">
        <v>44130</v>
      </c>
      <c r="C157" s="1" t="n">
        <v>45660</v>
      </c>
      <c r="D157" t="inlineStr">
        <is>
          <t>NORRBOTTENS LÄN</t>
        </is>
      </c>
      <c r="E157" t="inlineStr">
        <is>
          <t>KALIX</t>
        </is>
      </c>
      <c r="G157" t="n">
        <v>16.4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55361-2020</t>
        </is>
      </c>
      <c r="B158" s="1" t="n">
        <v>44131</v>
      </c>
      <c r="C158" s="1" t="n">
        <v>45660</v>
      </c>
      <c r="D158" t="inlineStr">
        <is>
          <t>NORRBOTTENS LÄN</t>
        </is>
      </c>
      <c r="E158" t="inlineStr">
        <is>
          <t>KALIX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57090-2020</t>
        </is>
      </c>
      <c r="B159" s="1" t="n">
        <v>44138</v>
      </c>
      <c r="C159" s="1" t="n">
        <v>45660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62948-2020</t>
        </is>
      </c>
      <c r="B160" s="1" t="n">
        <v>44160</v>
      </c>
      <c r="C160" s="1" t="n">
        <v>45660</v>
      </c>
      <c r="D160" t="inlineStr">
        <is>
          <t>NORRBOTTENS LÄN</t>
        </is>
      </c>
      <c r="E160" t="inlineStr">
        <is>
          <t>KALIX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62649-2020</t>
        </is>
      </c>
      <c r="B161" s="1" t="n">
        <v>44161</v>
      </c>
      <c r="C161" s="1" t="n">
        <v>45660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63944-2020</t>
        </is>
      </c>
      <c r="B162" s="1" t="n">
        <v>44165</v>
      </c>
      <c r="C162" s="1" t="n">
        <v>45660</v>
      </c>
      <c r="D162" t="inlineStr">
        <is>
          <t>NORRBOTTENS LÄN</t>
        </is>
      </c>
      <c r="E162" t="inlineStr">
        <is>
          <t>KALIX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66495-2020</t>
        </is>
      </c>
      <c r="B163" s="1" t="n">
        <v>44178</v>
      </c>
      <c r="C163" s="1" t="n">
        <v>45660</v>
      </c>
      <c r="D163" t="inlineStr">
        <is>
          <t>NORRBOTTENS LÄN</t>
        </is>
      </c>
      <c r="E163" t="inlineStr">
        <is>
          <t>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67325-2020</t>
        </is>
      </c>
      <c r="B164" s="1" t="n">
        <v>44181</v>
      </c>
      <c r="C164" s="1" t="n">
        <v>45660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67323-2020</t>
        </is>
      </c>
      <c r="B165" s="1" t="n">
        <v>44181</v>
      </c>
      <c r="C165" s="1" t="n">
        <v>45660</v>
      </c>
      <c r="D165" t="inlineStr">
        <is>
          <t>NORRBOTTENS LÄN</t>
        </is>
      </c>
      <c r="E165" t="inlineStr">
        <is>
          <t>KALIX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954-2021</t>
        </is>
      </c>
      <c r="B166" s="1" t="n">
        <v>44207</v>
      </c>
      <c r="C166" s="1" t="n">
        <v>45660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949-2021</t>
        </is>
      </c>
      <c r="B167" s="1" t="n">
        <v>44207</v>
      </c>
      <c r="C167" s="1" t="n">
        <v>45660</v>
      </c>
      <c r="D167" t="inlineStr">
        <is>
          <t>NORRBOTTENS LÄN</t>
        </is>
      </c>
      <c r="E167" t="inlineStr">
        <is>
          <t>KALIX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1570-2021</t>
        </is>
      </c>
      <c r="B168" s="1" t="n">
        <v>44209</v>
      </c>
      <c r="C168" s="1" t="n">
        <v>45660</v>
      </c>
      <c r="D168" t="inlineStr">
        <is>
          <t>NORRBOTTENS LÄN</t>
        </is>
      </c>
      <c r="E168" t="inlineStr">
        <is>
          <t>KALIX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2693-2021</t>
        </is>
      </c>
      <c r="B169" s="1" t="n">
        <v>44215</v>
      </c>
      <c r="C169" s="1" t="n">
        <v>45660</v>
      </c>
      <c r="D169" t="inlineStr">
        <is>
          <t>NORRBOTTENS LÄN</t>
        </is>
      </c>
      <c r="E169" t="inlineStr">
        <is>
          <t>KALIX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2707-2021</t>
        </is>
      </c>
      <c r="B170" s="1" t="n">
        <v>44215</v>
      </c>
      <c r="C170" s="1" t="n">
        <v>45660</v>
      </c>
      <c r="D170" t="inlineStr">
        <is>
          <t>NORRBOTTENS LÄN</t>
        </is>
      </c>
      <c r="E170" t="inlineStr">
        <is>
          <t>KALIX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2691-2021</t>
        </is>
      </c>
      <c r="B171" s="1" t="n">
        <v>44215</v>
      </c>
      <c r="C171" s="1" t="n">
        <v>45660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2704-2021</t>
        </is>
      </c>
      <c r="B172" s="1" t="n">
        <v>44215</v>
      </c>
      <c r="C172" s="1" t="n">
        <v>45660</v>
      </c>
      <c r="D172" t="inlineStr">
        <is>
          <t>NORRBOTTENS LÄN</t>
        </is>
      </c>
      <c r="E172" t="inlineStr">
        <is>
          <t>KALIX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2757-2021</t>
        </is>
      </c>
      <c r="B173" s="1" t="n">
        <v>44215</v>
      </c>
      <c r="C173" s="1" t="n">
        <v>45660</v>
      </c>
      <c r="D173" t="inlineStr">
        <is>
          <t>NORRBOTTENS LÄN</t>
        </is>
      </c>
      <c r="E173" t="inlineStr">
        <is>
          <t>KALIX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2805-2021</t>
        </is>
      </c>
      <c r="B174" s="1" t="n">
        <v>44215</v>
      </c>
      <c r="C174" s="1" t="n">
        <v>45660</v>
      </c>
      <c r="D174" t="inlineStr">
        <is>
          <t>NORRBOTTENS LÄN</t>
        </is>
      </c>
      <c r="E174" t="inlineStr">
        <is>
          <t>KALIX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2811-2021</t>
        </is>
      </c>
      <c r="B175" s="1" t="n">
        <v>44215</v>
      </c>
      <c r="C175" s="1" t="n">
        <v>45660</v>
      </c>
      <c r="D175" t="inlineStr">
        <is>
          <t>NORRBOTTENS LÄN</t>
        </is>
      </c>
      <c r="E175" t="inlineStr">
        <is>
          <t>KALIX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2694-2021</t>
        </is>
      </c>
      <c r="B176" s="1" t="n">
        <v>44215</v>
      </c>
      <c r="C176" s="1" t="n">
        <v>45660</v>
      </c>
      <c r="D176" t="inlineStr">
        <is>
          <t>NORRBOTTENS LÄN</t>
        </is>
      </c>
      <c r="E176" t="inlineStr">
        <is>
          <t>KALIX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2808-2021</t>
        </is>
      </c>
      <c r="B177" s="1" t="n">
        <v>44215</v>
      </c>
      <c r="C177" s="1" t="n">
        <v>45660</v>
      </c>
      <c r="D177" t="inlineStr">
        <is>
          <t>NORRBOTTENS LÄN</t>
        </is>
      </c>
      <c r="E177" t="inlineStr">
        <is>
          <t>KALIX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3037-2021</t>
        </is>
      </c>
      <c r="B178" s="1" t="n">
        <v>44216</v>
      </c>
      <c r="C178" s="1" t="n">
        <v>45660</v>
      </c>
      <c r="D178" t="inlineStr">
        <is>
          <t>NORRBOTTENS LÄN</t>
        </is>
      </c>
      <c r="E178" t="inlineStr">
        <is>
          <t>KALIX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3036-2021</t>
        </is>
      </c>
      <c r="B179" s="1" t="n">
        <v>44216</v>
      </c>
      <c r="C179" s="1" t="n">
        <v>45660</v>
      </c>
      <c r="D179" t="inlineStr">
        <is>
          <t>NORRBOTTENS LÄN</t>
        </is>
      </c>
      <c r="E179" t="inlineStr">
        <is>
          <t>KALIX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4005-2021</t>
        </is>
      </c>
      <c r="B180" s="1" t="n">
        <v>44218</v>
      </c>
      <c r="C180" s="1" t="n">
        <v>45660</v>
      </c>
      <c r="D180" t="inlineStr">
        <is>
          <t>NORRBOTTENS LÄN</t>
        </is>
      </c>
      <c r="E180" t="inlineStr">
        <is>
          <t>KALIX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4458-2021</t>
        </is>
      </c>
      <c r="B181" s="1" t="n">
        <v>44224</v>
      </c>
      <c r="C181" s="1" t="n">
        <v>45660</v>
      </c>
      <c r="D181" t="inlineStr">
        <is>
          <t>NORRBOTTENS LÄN</t>
        </is>
      </c>
      <c r="E181" t="inlineStr">
        <is>
          <t>KALIX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5937-2021</t>
        </is>
      </c>
      <c r="B182" s="1" t="n">
        <v>44229</v>
      </c>
      <c r="C182" s="1" t="n">
        <v>45660</v>
      </c>
      <c r="D182" t="inlineStr">
        <is>
          <t>NORRBOTTENS LÄN</t>
        </is>
      </c>
      <c r="E182" t="inlineStr">
        <is>
          <t>KALIX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8258-2021</t>
        </is>
      </c>
      <c r="B183" s="1" t="n">
        <v>44244</v>
      </c>
      <c r="C183" s="1" t="n">
        <v>45660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8269-2021</t>
        </is>
      </c>
      <c r="B184" s="1" t="n">
        <v>44244</v>
      </c>
      <c r="C184" s="1" t="n">
        <v>45660</v>
      </c>
      <c r="D184" t="inlineStr">
        <is>
          <t>NORRBOTTENS LÄN</t>
        </is>
      </c>
      <c r="E184" t="inlineStr">
        <is>
          <t>KALIX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8270-2021</t>
        </is>
      </c>
      <c r="B185" s="1" t="n">
        <v>44244</v>
      </c>
      <c r="C185" s="1" t="n">
        <v>45660</v>
      </c>
      <c r="D185" t="inlineStr">
        <is>
          <t>NORRBOTTENS LÄN</t>
        </is>
      </c>
      <c r="E185" t="inlineStr">
        <is>
          <t>KALIX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8611-2021</t>
        </is>
      </c>
      <c r="B186" s="1" t="n">
        <v>44245</v>
      </c>
      <c r="C186" s="1" t="n">
        <v>45660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11294-2021</t>
        </is>
      </c>
      <c r="B187" s="1" t="n">
        <v>44263</v>
      </c>
      <c r="C187" s="1" t="n">
        <v>45660</v>
      </c>
      <c r="D187" t="inlineStr">
        <is>
          <t>NORRBOTTENS LÄN</t>
        </is>
      </c>
      <c r="E187" t="inlineStr">
        <is>
          <t>KALIX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15687-2021</t>
        </is>
      </c>
      <c r="B188" s="1" t="n">
        <v>44286</v>
      </c>
      <c r="C188" s="1" t="n">
        <v>45660</v>
      </c>
      <c r="D188" t="inlineStr">
        <is>
          <t>NORRBOTTENS LÄN</t>
        </is>
      </c>
      <c r="E188" t="inlineStr">
        <is>
          <t>KALIX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45660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45660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45660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45660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45660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45660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45660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45660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45660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45660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45660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45660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45660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45660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45660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45660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45660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45660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45660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45660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45660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45660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45660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45660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45660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45660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45660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45660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45660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45660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45660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45660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45660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45660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45660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45660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45660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45660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45660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45660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45660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45660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45660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45660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45660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45660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45660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45660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45660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45660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45660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45660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45660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45660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45660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45660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45660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45660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45660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45660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45660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45660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45660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45660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45660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45660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45660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45660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45660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45660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45660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45660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45660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45660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45660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45660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45660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45660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45660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45660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45660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45660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45660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45660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45660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45660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45660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45660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45660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45660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45660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45660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45660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45660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45660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45660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45660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45660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45660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45660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45660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45660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45660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45660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45660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45660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45660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45660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45660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45660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45660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45660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45660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45660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45660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45660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45660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45660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45660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45660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45660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45660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45660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45660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45660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45660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45660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45660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45660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45660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45660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45660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45660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45660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45660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45660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45660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45660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45660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45660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45660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45660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45660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45660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45660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45660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45660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45660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45660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45660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45660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45660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45660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45660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45660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45660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45660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45660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45660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45660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45660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45660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45660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45660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45660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45660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45660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45660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45660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45660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45660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45660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45660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45660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45660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45660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45660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45660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45660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45660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45660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45660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45660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45660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45660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45660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45660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45660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45660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45660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45660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45660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45660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45660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45660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45660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45660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45660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45660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45660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45660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45660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45660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45660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45660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45660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45660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45660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45660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45660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45660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45660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45660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45660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45660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45660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45660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45660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45660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45660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45660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45660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45660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45660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45660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45660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45660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45660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45660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45660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45660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45660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45660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45660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45660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45660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45660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45660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45660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45660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45660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45660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45660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45660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45660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45660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45660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45660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45660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45660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45660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45660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45660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45660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45660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45660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45660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45660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45660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45660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45660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45660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45660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45660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45660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45660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45660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45660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45660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45660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45660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45660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45660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45660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45660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45660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45660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45660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45660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45660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45660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45660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45660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45660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45660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45660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45660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45660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45660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45660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45660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45660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45660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45660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45660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45660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45660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45660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45660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45660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45660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45660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45660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45660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45660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45660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45660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45660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45660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45660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45660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45660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45660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45660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45660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45660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45660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45660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45660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45660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45660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45660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45660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45660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45660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45660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45660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45660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45660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45660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45660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45660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45660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45660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45660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45660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45660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45660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45660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45660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45660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45660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45660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45660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45660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45660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45660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45660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45660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45660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45660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45660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45660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45660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45660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45660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45660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45660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45660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45660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45660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45660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45660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45660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45660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45660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45660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45660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45660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45660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45660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45660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45660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45660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45660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45660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45660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45660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45660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45660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45660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45660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45660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45660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45660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45660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45660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45660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45660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45660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45660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45660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45660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45660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45660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45660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45660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45660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45660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45660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45660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45660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45660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45660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45660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45660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45660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45660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45660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45660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45660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45660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45660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45660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45660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45660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45660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45660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45660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45660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45660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45660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45660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45660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45660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45660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45660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45660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45660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45660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45660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45660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45660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45660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45660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45660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45660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45660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45660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45660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45660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45660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45660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45660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45660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45660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45660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45660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45660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45660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45660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45660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45660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45660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45660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45660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45660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45660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45660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45660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45660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45660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45660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45660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45660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45660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45660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45660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45660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45660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45660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45660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45660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45660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45660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45660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45660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45660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45660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45660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45660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45660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45660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45660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45660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45660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45660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45660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45660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45660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45660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45660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45660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45660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45660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45660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45660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45660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45660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45660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45660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45660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45660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45660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45660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45660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45660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45660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45660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45660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45660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45660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45660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45660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45660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45660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45660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45660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45660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45660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45660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45660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45660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45660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45660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45660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45660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45660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45660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45660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45660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45660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45660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45660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45660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45660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45660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45660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45660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45660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45660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45660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45660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45660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45660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45660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45660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45660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45660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45660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45660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45660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45660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45660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45660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45660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45660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45660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45660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45660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45660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45660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45660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45660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45660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45660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45660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45660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45660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45660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45660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45660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45660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45660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58274-2024</t>
        </is>
      </c>
      <c r="B763" s="1" t="n">
        <v>45632</v>
      </c>
      <c r="C763" s="1" t="n">
        <v>45660</v>
      </c>
      <c r="D763" t="inlineStr">
        <is>
          <t>NORRBOTTENS LÄN</t>
        </is>
      </c>
      <c r="E763" t="inlineStr">
        <is>
          <t>KALIX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45660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45660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45660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45660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45660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59884-2024</t>
        </is>
      </c>
      <c r="B769" s="1" t="n">
        <v>45641</v>
      </c>
      <c r="C769" s="1" t="n">
        <v>45660</v>
      </c>
      <c r="D769" t="inlineStr">
        <is>
          <t>NORRBOTTENS LÄN</t>
        </is>
      </c>
      <c r="E769" t="inlineStr">
        <is>
          <t>KALIX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45660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45660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45660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61104-2024</t>
        </is>
      </c>
      <c r="B773" s="1" t="n">
        <v>45645</v>
      </c>
      <c r="C773" s="1" t="n">
        <v>45660</v>
      </c>
      <c r="D773" t="inlineStr">
        <is>
          <t>NORRBOTTENS LÄN</t>
        </is>
      </c>
      <c r="E773" t="inlineStr">
        <is>
          <t>KALIX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45660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45660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45660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45660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91-2025</t>
        </is>
      </c>
      <c r="B778" s="1" t="n">
        <v>45659</v>
      </c>
      <c r="C778" s="1" t="n">
        <v>45660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2025-01-03T15:40:23Z</dcterms:created>
  <dcterms:modified xmlns:dcterms="http://purl.org/dc/terms/" xmlns:xsi="http://www.w3.org/2001/XMLSchema-instance" xsi:type="dcterms:W3CDTF">2025-01-03T15:40:24Z</dcterms:modified>
</cp:coreProperties>
</file>