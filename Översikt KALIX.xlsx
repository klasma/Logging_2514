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46221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V2">
        <f>HYPERLINK("https://klasma.github.io/Logging_2514/artfynd/A 956-2026 artfynd.xlsx", "A 956-2026")</f>
        <v/>
      </c>
      <c r="W2">
        <f>HYPERLINK("https://klasma.github.io/Logging_2514/kartor/A 956-2026 karta.png", "A 956-2026")</f>
        <v/>
      </c>
      <c r="X2">
        <f>HYPERLINK("https://klasma.github.io/Logging_2514/knärot/A 956-2026 karta knärot.png", "A 956-2026")</f>
        <v/>
      </c>
      <c r="Y2">
        <f>HYPERLINK("https://klasma.github.io/Logging_2514/klagomål/A 956-2026 FSC-klagomål.docx", "A 956-2026")</f>
        <v/>
      </c>
      <c r="Z2">
        <f>HYPERLINK("https://klasma.github.io/Logging_2514/klagomålsmail/A 956-2026 FSC-klagomål mail.docx", "A 956-2026")</f>
        <v/>
      </c>
      <c r="AA2">
        <f>HYPERLINK("https://klasma.github.io/Logging_2514/tillsyn/A 956-2026 tillsynsbegäran.docx", "A 956-2026")</f>
        <v/>
      </c>
      <c r="AB2">
        <f>HYPERLINK("https://klasma.github.io/Logging_2514/tillsynsmail/A 956-2026 tillsynsbegäran mail.docx", "A 956-2026")</f>
        <v/>
      </c>
      <c r="AC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46221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s="2" t="inlineStr">
        <is>
          <t>Garnlav
Knärot
Gammelgransskål
Talltita
Ullticka
Äggvaxskivling
Bårdlav
Rödgul trumpetsvamp
Spillkråka
Kråka
Kungsfågel
Lopplummer (aggregat)
Revlummer</t>
        </is>
      </c>
      <c r="V3">
        <f>HYPERLINK("https://klasma.github.io/Logging_2514/artfynd/A 69012-2021 artfynd.xlsx", "A 69012-2021")</f>
        <v/>
      </c>
      <c r="W3">
        <f>HYPERLINK("https://klasma.github.io/Logging_2514/kartor/A 69012-2021 karta.png", "A 69012-2021")</f>
        <v/>
      </c>
      <c r="X3">
        <f>HYPERLINK("https://klasma.github.io/Logging_2514/knärot/A 69012-2021 karta knärot.png", "A 69012-2021")</f>
        <v/>
      </c>
      <c r="Y3">
        <f>HYPERLINK("https://klasma.github.io/Logging_2514/klagomål/A 69012-2021 FSC-klagomål.docx", "A 69012-2021")</f>
        <v/>
      </c>
      <c r="Z3">
        <f>HYPERLINK("https://klasma.github.io/Logging_2514/klagomålsmail/A 69012-2021 FSC-klagomål mail.docx", "A 69012-2021")</f>
        <v/>
      </c>
      <c r="AA3">
        <f>HYPERLINK("https://klasma.github.io/Logging_2514/tillsyn/A 69012-2021 tillsynsbegäran.docx", "A 69012-2021")</f>
        <v/>
      </c>
      <c r="AB3">
        <f>HYPERLINK("https://klasma.github.io/Logging_2514/tillsynsmail/A 69012-2021 tillsynsbegäran mail.docx", "A 69012-2021")</f>
        <v/>
      </c>
      <c r="AC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46221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s="2" t="inlineStr">
        <is>
          <t>Garnlav
Lammticka
Dropptaggsvamp
Motaggsvamp
Orange taggsvamp
Stjärntagging
Svartvit taggsvamp
Talltita
Plattlummer
Spillkråka
Kråka
Revlummer</t>
        </is>
      </c>
      <c r="V4">
        <f>HYPERLINK("https://klasma.github.io/Logging_2514/artfynd/A 44336-2023 artfynd.xlsx", "A 44336-2023")</f>
        <v/>
      </c>
      <c r="W4">
        <f>HYPERLINK("https://klasma.github.io/Logging_2514/kartor/A 44336-2023 karta.png", "A 44336-2023")</f>
        <v/>
      </c>
      <c r="Y4">
        <f>HYPERLINK("https://klasma.github.io/Logging_2514/klagomål/A 44336-2023 FSC-klagomål.docx", "A 44336-2023")</f>
        <v/>
      </c>
      <c r="Z4">
        <f>HYPERLINK("https://klasma.github.io/Logging_2514/klagomålsmail/A 44336-2023 FSC-klagomål mail.docx", "A 44336-2023")</f>
        <v/>
      </c>
      <c r="AA4">
        <f>HYPERLINK("https://klasma.github.io/Logging_2514/tillsyn/A 44336-2023 tillsynsbegäran.docx", "A 44336-2023")</f>
        <v/>
      </c>
      <c r="AB4">
        <f>HYPERLINK("https://klasma.github.io/Logging_2514/tillsynsmail/A 44336-2023 tillsynsbegäran mail.docx", "A 44336-2023")</f>
        <v/>
      </c>
      <c r="AC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46221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s="2" t="inlineStr">
        <is>
          <t>Garnlav
Knärot
Gammelgransskål
Lunglav
Ullticka
Skinnlav
Stuplav
Vedticka
Kötticka</t>
        </is>
      </c>
      <c r="V5">
        <f>HYPERLINK("https://klasma.github.io/Logging_2514/artfynd/A 48581-2025 artfynd.xlsx", "A 48581-2025")</f>
        <v/>
      </c>
      <c r="W5">
        <f>HYPERLINK("https://klasma.github.io/Logging_2514/kartor/A 48581-2025 karta.png", "A 48581-2025")</f>
        <v/>
      </c>
      <c r="X5">
        <f>HYPERLINK("https://klasma.github.io/Logging_2514/knärot/A 48581-2025 karta knärot.png", "A 48581-2025")</f>
        <v/>
      </c>
      <c r="Y5">
        <f>HYPERLINK("https://klasma.github.io/Logging_2514/klagomål/A 48581-2025 FSC-klagomål.docx", "A 48581-2025")</f>
        <v/>
      </c>
      <c r="Z5">
        <f>HYPERLINK("https://klasma.github.io/Logging_2514/klagomålsmail/A 48581-2025 FSC-klagomål mail.docx", "A 48581-2025")</f>
        <v/>
      </c>
      <c r="AA5">
        <f>HYPERLINK("https://klasma.github.io/Logging_2514/tillsyn/A 48581-2025 tillsynsbegäran.docx", "A 48581-2025")</f>
        <v/>
      </c>
      <c r="AB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46221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s="2" t="inlineStr">
        <is>
          <t>Knärot
Liten aspgelélav
Orange taggsvamp
Grönkulla
Guckusko
Skinnlav
Svart trolldruva
Spillkråka
Nattviol</t>
        </is>
      </c>
      <c r="V6">
        <f>HYPERLINK("https://klasma.github.io/Logging_2514/artfynd/A 36753-2022 artfynd.xlsx", "A 36753-2022")</f>
        <v/>
      </c>
      <c r="W6">
        <f>HYPERLINK("https://klasma.github.io/Logging_2514/kartor/A 36753-2022 karta.png", "A 36753-2022")</f>
        <v/>
      </c>
      <c r="X6">
        <f>HYPERLINK("https://klasma.github.io/Logging_2514/knärot/A 36753-2022 karta knärot.png", "A 36753-2022")</f>
        <v/>
      </c>
      <c r="Y6">
        <f>HYPERLINK("https://klasma.github.io/Logging_2514/klagomål/A 36753-2022 FSC-klagomål.docx", "A 36753-2022")</f>
        <v/>
      </c>
      <c r="Z6">
        <f>HYPERLINK("https://klasma.github.io/Logging_2514/klagomålsmail/A 36753-2022 FSC-klagomål mail.docx", "A 36753-2022")</f>
        <v/>
      </c>
      <c r="AA6">
        <f>HYPERLINK("https://klasma.github.io/Logging_2514/tillsyn/A 36753-2022 tillsynsbegäran.docx", "A 36753-2022")</f>
        <v/>
      </c>
      <c r="AB6">
        <f>HYPERLINK("https://klasma.github.io/Logging_2514/tillsynsmail/A 36753-2022 tillsynsbegäran mail.docx", "A 36753-2022")</f>
        <v/>
      </c>
      <c r="AC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46221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s="2" t="inlineStr">
        <is>
          <t>Garnlav
Knärot
Ullticka
Skinnlav
Vedticka
Kransmossa
Kötticka</t>
        </is>
      </c>
      <c r="V7">
        <f>HYPERLINK("https://klasma.github.io/Logging_2514/artfynd/A 17665-2026 artfynd.xlsx", "A 17665-2026")</f>
        <v/>
      </c>
      <c r="W7">
        <f>HYPERLINK("https://klasma.github.io/Logging_2514/kartor/A 17665-2026 karta.png", "A 17665-2026")</f>
        <v/>
      </c>
      <c r="X7">
        <f>HYPERLINK("https://klasma.github.io/Logging_2514/knärot/A 17665-2026 karta knärot.png", "A 17665-2026")</f>
        <v/>
      </c>
      <c r="Y7">
        <f>HYPERLINK("https://klasma.github.io/Logging_2514/klagomål/A 17665-2026 FSC-klagomål.docx", "A 17665-2026")</f>
        <v/>
      </c>
      <c r="Z7">
        <f>HYPERLINK("https://klasma.github.io/Logging_2514/klagomålsmail/A 17665-2026 FSC-klagomål mail.docx", "A 17665-2026")</f>
        <v/>
      </c>
      <c r="AA7">
        <f>HYPERLINK("https://klasma.github.io/Logging_2514/tillsyn/A 17665-2026 tillsynsbegäran.docx", "A 17665-2026")</f>
        <v/>
      </c>
      <c r="AB7">
        <f>HYPERLINK("https://klasma.github.io/Logging_2514/tillsynsmail/A 17665-2026 tillsynsbegäran mail.docx", "A 17665-2026")</f>
        <v/>
      </c>
    </row>
    <row r="8" ht="15" customHeight="1">
      <c r="A8" t="inlineStr">
        <is>
          <t>A 64290-2021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46221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52.9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s="2" t="inlineStr">
        <is>
          <t>Spillkråka
Tjäder
Huggorm
Strandviva
Vanliga ängsnycklar</t>
        </is>
      </c>
      <c r="V8">
        <f>HYPERLINK("https://klasma.github.io/Logging_2514/artfynd/A 64290-2021 artfynd.xlsx", "A 64290-2021")</f>
        <v/>
      </c>
      <c r="W8">
        <f>HYPERLINK("https://klasma.github.io/Logging_2514/kartor/A 64290-2021 karta.png", "A 64290-2021")</f>
        <v/>
      </c>
      <c r="Y8">
        <f>HYPERLINK("https://klasma.github.io/Logging_2514/klagomål/A 64290-2021 FSC-klagomål.docx", "A 64290-2021")</f>
        <v/>
      </c>
      <c r="Z8">
        <f>HYPERLINK("https://klasma.github.io/Logging_2514/klagomålsmail/A 64290-2021 FSC-klagomål mail.docx", "A 64290-2021")</f>
        <v/>
      </c>
      <c r="AA8">
        <f>HYPERLINK("https://klasma.github.io/Logging_2514/tillsyn/A 64290-2021 tillsynsbegäran.docx", "A 64290-2021")</f>
        <v/>
      </c>
      <c r="AB8">
        <f>HYPERLINK("https://klasma.github.io/Logging_2514/tillsynsmail/A 64290-2021 tillsynsbegäran mail.docx", "A 64290-2021")</f>
        <v/>
      </c>
      <c r="AC8">
        <f>HYPERLINK("https://klasma.github.io/Logging_2514/fåglar/A 64290-2021 prioriterade fågelarter.docx", "A 64290-2021")</f>
        <v/>
      </c>
    </row>
    <row r="9" ht="15" customHeight="1">
      <c r="A9" t="inlineStr">
        <is>
          <t>A 64289-2021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46221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18.9</v>
      </c>
      <c r="J9" t="n">
        <v>4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12</v>
      </c>
      <c r="U9" s="2" t="inlineStr">
        <is>
          <t>Grönfink
Talltita
Källpraktmossa
Spillkråka
Tjäder</t>
        </is>
      </c>
      <c r="V9">
        <f>HYPERLINK("https://klasma.github.io/Logging_2514/artfynd/A 64289-2021 artfynd.xlsx", "A 64289-2021")</f>
        <v/>
      </c>
      <c r="W9">
        <f>HYPERLINK("https://klasma.github.io/Logging_2514/kartor/A 64289-2021 karta.png", "A 64289-2021")</f>
        <v/>
      </c>
      <c r="Y9">
        <f>HYPERLINK("https://klasma.github.io/Logging_2514/klagomål/A 64289-2021 FSC-klagomål.docx", "A 64289-2021")</f>
        <v/>
      </c>
      <c r="Z9">
        <f>HYPERLINK("https://klasma.github.io/Logging_2514/klagomålsmail/A 64289-2021 FSC-klagomål mail.docx", "A 64289-2021")</f>
        <v/>
      </c>
      <c r="AA9">
        <f>HYPERLINK("https://klasma.github.io/Logging_2514/tillsyn/A 64289-2021 tillsynsbegäran.docx", "A 64289-2021")</f>
        <v/>
      </c>
      <c r="AB9">
        <f>HYPERLINK("https://klasma.github.io/Logging_2514/tillsynsmail/A 64289-2021 tillsynsbegäran mail.docx", "A 64289-2021")</f>
        <v/>
      </c>
      <c r="AC9">
        <f>HYPERLINK("https://klasma.github.io/Logging_2514/fåglar/A 64289-2021 prioriterade fågelarter.docx", "A 64289-2021")</f>
        <v/>
      </c>
    </row>
    <row r="10" ht="15" customHeight="1">
      <c r="A10" t="inlineStr">
        <is>
          <t>A 15427-2026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46106</v>
      </c>
      <c r="E10" s="1" t="n">
        <v>46221</v>
      </c>
      <c r="F10" t="inlineStr">
        <is>
          <t>NORRBOTTENS LÄN</t>
        </is>
      </c>
      <c r="G10" t="inlineStr">
        <is>
          <t>KALIX</t>
        </is>
      </c>
      <c r="H10" t="inlineStr">
        <is>
          <t>SCA</t>
        </is>
      </c>
      <c r="I10" t="n">
        <v>26.7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Björksplintborre
Bronshjon
Vågbandad barkbock
Spillkråka
Revlummer</t>
        </is>
      </c>
      <c r="V10">
        <f>HYPERLINK("https://klasma.github.io/Logging_2514/artfynd/A 15427-2026 artfynd.xlsx", "A 15427-2026")</f>
        <v/>
      </c>
      <c r="W10">
        <f>HYPERLINK("https://klasma.github.io/Logging_2514/kartor/A 15427-2026 karta.png", "A 15427-2026")</f>
        <v/>
      </c>
      <c r="Y10">
        <f>HYPERLINK("https://klasma.github.io/Logging_2514/klagomål/A 15427-2026 FSC-klagomål.docx", "A 15427-2026")</f>
        <v/>
      </c>
      <c r="Z10">
        <f>HYPERLINK("https://klasma.github.io/Logging_2514/klagomålsmail/A 15427-2026 FSC-klagomål mail.docx", "A 15427-2026")</f>
        <v/>
      </c>
      <c r="AA10">
        <f>HYPERLINK("https://klasma.github.io/Logging_2514/tillsyn/A 15427-2026 tillsynsbegäran.docx", "A 15427-2026")</f>
        <v/>
      </c>
      <c r="AB10">
        <f>HYPERLINK("https://klasma.github.io/Logging_2514/tillsynsmail/A 15427-2026 tillsynsbegäran mail.docx", "A 15427-2026")</f>
        <v/>
      </c>
      <c r="AC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46121</v>
      </c>
      <c r="E11" s="1" t="n">
        <v>46221</v>
      </c>
      <c r="F11" t="inlineStr">
        <is>
          <t>NORRBOTTENS LÄN</t>
        </is>
      </c>
      <c r="G11" t="inlineStr">
        <is>
          <t>KALIX</t>
        </is>
      </c>
      <c r="I11" t="n">
        <v>2.1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24</v>
      </c>
      <c r="U11" s="2" t="inlineStr">
        <is>
          <t>Garnlav
Gammelgransskål
Skinnlav
Vedticka
Spillkråka</t>
        </is>
      </c>
      <c r="V11">
        <f>HYPERLINK("https://klasma.github.io/Logging_2514/artfynd/A 17614-2026 artfynd.xlsx", "A 17614-2026")</f>
        <v/>
      </c>
      <c r="W11">
        <f>HYPERLINK("https://klasma.github.io/Logging_2514/kartor/A 17614-2026 karta.png", "A 17614-2026")</f>
        <v/>
      </c>
      <c r="Y11">
        <f>HYPERLINK("https://klasma.github.io/Logging_2514/klagomål/A 17614-2026 FSC-klagomål.docx", "A 17614-2026")</f>
        <v/>
      </c>
      <c r="Z11">
        <f>HYPERLINK("https://klasma.github.io/Logging_2514/klagomålsmail/A 17614-2026 FSC-klagomål mail.docx", "A 17614-2026")</f>
        <v/>
      </c>
      <c r="AA11">
        <f>HYPERLINK("https://klasma.github.io/Logging_2514/tillsyn/A 17614-2026 tillsynsbegäran.docx", "A 17614-2026")</f>
        <v/>
      </c>
      <c r="AB11">
        <f>HYPERLINK("https://klasma.github.io/Logging_2514/tillsynsmail/A 17614-2026 tillsynsbegäran mail.docx", "A 17614-2026")</f>
        <v/>
      </c>
      <c r="AC11">
        <f>HYPERLINK("https://klasma.github.io/Logging_2514/fåglar/A 17614-2026 prioriterade fågelarter.docx", "A 17614-2026")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46221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s="2" t="inlineStr">
        <is>
          <t>Nordfladdermus
Plattlummer
Sälg
Tjäder
Vattenfladdermus</t>
        </is>
      </c>
      <c r="V12">
        <f>HYPERLINK("https://klasma.github.io/Logging_2514/artfynd/S 113-2023 artfynd.xlsx", "S 113-2023")</f>
        <v/>
      </c>
      <c r="W12">
        <f>HYPERLINK("https://klasma.github.io/Logging_2514/kartor/S 113-2023 karta.png", "S 113-2023")</f>
        <v/>
      </c>
      <c r="X12">
        <f>HYPERLINK("https://klasma.github.io/Logging_2514/knärot/S 113-2023 karta knärot.png", "S 113-2023")</f>
        <v/>
      </c>
      <c r="Y12">
        <f>HYPERLINK("https://klasma.github.io/Logging_2514/klagomål/S 113-2023 FSC-klagomål.docx", "S 113-2023")</f>
        <v/>
      </c>
      <c r="Z12">
        <f>HYPERLINK("https://klasma.github.io/Logging_2514/klagomålsmail/S 113-2023 FSC-klagomål mail.docx", "S 113-2023")</f>
        <v/>
      </c>
      <c r="AA12">
        <f>HYPERLINK("https://klasma.github.io/Logging_2514/tillsyn/S 113-2023 tillsynsbegäran.docx", "S 113-2023")</f>
        <v/>
      </c>
      <c r="AB12">
        <f>HYPERLINK("https://klasma.github.io/Logging_2514/tillsynsmail/S 113-2023 tillsynsbegäran mail.docx", "S 113-2023")</f>
        <v/>
      </c>
      <c r="AC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46221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s="2" t="inlineStr">
        <is>
          <t>Garnlav
Skrovlig taggsvamp
Gammelgransskål</t>
        </is>
      </c>
      <c r="V13">
        <f>HYPERLINK("https://klasma.github.io/Logging_2514/artfynd/A 54332-2024 artfynd.xlsx", "A 54332-2024")</f>
        <v/>
      </c>
      <c r="W13">
        <f>HYPERLINK("https://klasma.github.io/Logging_2514/kartor/A 54332-2024 karta.png", "A 54332-2024")</f>
        <v/>
      </c>
      <c r="Y13">
        <f>HYPERLINK("https://klasma.github.io/Logging_2514/klagomål/A 54332-2024 FSC-klagomål.docx", "A 54332-2024")</f>
        <v/>
      </c>
      <c r="Z13">
        <f>HYPERLINK("https://klasma.github.io/Logging_2514/klagomålsmail/A 54332-2024 FSC-klagomål mail.docx", "A 54332-2024")</f>
        <v/>
      </c>
      <c r="AA13">
        <f>HYPERLINK("https://klasma.github.io/Logging_2514/tillsyn/A 54332-2024 tillsynsbegäran.docx", "A 54332-2024")</f>
        <v/>
      </c>
      <c r="AB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46221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Bitter taggsvamp
Grantaggsvamp
Svartvit taggsvamp</t>
        </is>
      </c>
      <c r="V14">
        <f>HYPERLINK("https://klasma.github.io/Logging_2514/artfynd/A 42826-2024 artfynd.xlsx", "A 42826-2024")</f>
        <v/>
      </c>
      <c r="W14">
        <f>HYPERLINK("https://klasma.github.io/Logging_2514/kartor/A 42826-2024 karta.png", "A 42826-2024")</f>
        <v/>
      </c>
      <c r="Y14">
        <f>HYPERLINK("https://klasma.github.io/Logging_2514/klagomål/A 42826-2024 FSC-klagomål.docx", "A 42826-2024")</f>
        <v/>
      </c>
      <c r="Z14">
        <f>HYPERLINK("https://klasma.github.io/Logging_2514/klagomålsmail/A 42826-2024 FSC-klagomål mail.docx", "A 42826-2024")</f>
        <v/>
      </c>
      <c r="AA14">
        <f>HYPERLINK("https://klasma.github.io/Logging_2514/tillsyn/A 42826-2024 tillsynsbegäran.docx", "A 42826-2024")</f>
        <v/>
      </c>
      <c r="AB14">
        <f>HYPERLINK("https://klasma.github.io/Logging_2514/tillsynsmail/A 42826-2024 tillsynsbegäran mail.docx", "A 42826-2024")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46221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s="2" t="inlineStr">
        <is>
          <t>Garnlav
Gammelgransskål</t>
        </is>
      </c>
      <c r="V15">
        <f>HYPERLINK("https://klasma.github.io/Logging_2514/artfynd/A 24923-2022 artfynd.xlsx", "A 24923-2022")</f>
        <v/>
      </c>
      <c r="W15">
        <f>HYPERLINK("https://klasma.github.io/Logging_2514/kartor/A 24923-2022 karta.png", "A 24923-2022")</f>
        <v/>
      </c>
      <c r="Y15">
        <f>HYPERLINK("https://klasma.github.io/Logging_2514/klagomål/A 24923-2022 FSC-klagomål.docx", "A 24923-2022")</f>
        <v/>
      </c>
      <c r="Z15">
        <f>HYPERLINK("https://klasma.github.io/Logging_2514/klagomålsmail/A 24923-2022 FSC-klagomål mail.docx", "A 24923-2022")</f>
        <v/>
      </c>
      <c r="AA15">
        <f>HYPERLINK("https://klasma.github.io/Logging_2514/tillsyn/A 24923-2022 tillsynsbegäran.docx", "A 24923-2022")</f>
        <v/>
      </c>
      <c r="AB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46221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Garnlav
Grönpyrola</t>
        </is>
      </c>
      <c r="V16">
        <f>HYPERLINK("https://klasma.github.io/Logging_2514/artfynd/A 23342-2025 artfynd.xlsx", "A 23342-2025")</f>
        <v/>
      </c>
      <c r="W16">
        <f>HYPERLINK("https://klasma.github.io/Logging_2514/kartor/A 23342-2025 karta.png", "A 23342-2025")</f>
        <v/>
      </c>
      <c r="X16">
        <f>HYPERLINK("https://klasma.github.io/Logging_2514/knärot/A 23342-2025 karta knärot.png", "A 23342-2025")</f>
        <v/>
      </c>
      <c r="Y16">
        <f>HYPERLINK("https://klasma.github.io/Logging_2514/klagomål/A 23342-2025 FSC-klagomål.docx", "A 23342-2025")</f>
        <v/>
      </c>
      <c r="Z16">
        <f>HYPERLINK("https://klasma.github.io/Logging_2514/klagomålsmail/A 23342-2025 FSC-klagomål mail.docx", "A 23342-2025")</f>
        <v/>
      </c>
      <c r="AA16">
        <f>HYPERLINK("https://klasma.github.io/Logging_2514/tillsyn/A 23342-2025 tillsynsbegäran.docx", "A 23342-2025")</f>
        <v/>
      </c>
      <c r="AB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46221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Fläckporing
Rävticka</t>
        </is>
      </c>
      <c r="V17">
        <f>HYPERLINK("https://klasma.github.io/Logging_2514/artfynd/A 29564-2026 artfynd.xlsx", "A 29564-2026")</f>
        <v/>
      </c>
      <c r="W17">
        <f>HYPERLINK("https://klasma.github.io/Logging_2514/kartor/A 29564-2026 karta.png", "A 29564-2026")</f>
        <v/>
      </c>
      <c r="Y17">
        <f>HYPERLINK("https://klasma.github.io/Logging_2514/klagomål/A 29564-2026 FSC-klagomål.docx", "A 29564-2026")</f>
        <v/>
      </c>
      <c r="Z17">
        <f>HYPERLINK("https://klasma.github.io/Logging_2514/klagomålsmail/A 29564-2026 FSC-klagomål mail.docx", "A 29564-2026")</f>
        <v/>
      </c>
      <c r="AA17">
        <f>HYPERLINK("https://klasma.github.io/Logging_2514/tillsyn/A 29564-2026 tillsynsbegäran.docx", "A 29564-2026")</f>
        <v/>
      </c>
      <c r="AB17">
        <f>HYPERLINK("https://klasma.github.io/Logging_2514/tillsynsmail/A 29564-2026 tillsynsbegäran mail.docx", "A 29564-2026")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46221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Tibast
Äkta lopplummer</t>
        </is>
      </c>
      <c r="V18">
        <f>HYPERLINK("https://klasma.github.io/Logging_2514/artfynd/A 62537-2023 artfynd.xlsx", "A 62537-2023")</f>
        <v/>
      </c>
      <c r="W18">
        <f>HYPERLINK("https://klasma.github.io/Logging_2514/kartor/A 62537-2023 karta.png", "A 62537-2023")</f>
        <v/>
      </c>
      <c r="Y18">
        <f>HYPERLINK("https://klasma.github.io/Logging_2514/klagomål/A 62537-2023 FSC-klagomål.docx", "A 62537-2023")</f>
        <v/>
      </c>
      <c r="Z18">
        <f>HYPERLINK("https://klasma.github.io/Logging_2514/klagomålsmail/A 62537-2023 FSC-klagomål mail.docx", "A 62537-2023")</f>
        <v/>
      </c>
      <c r="AA18">
        <f>HYPERLINK("https://klasma.github.io/Logging_2514/tillsyn/A 62537-2023 tillsynsbegäran.docx", "A 62537-2023")</f>
        <v/>
      </c>
      <c r="AB18">
        <f>HYPERLINK("https://klasma.github.io/Logging_2514/tillsynsmail/A 62537-2023 tillsynsbegäran mail.docx", "A 62537-2023")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46221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Repestarr
Revlummer</t>
        </is>
      </c>
      <c r="V19">
        <f>HYPERLINK("https://klasma.github.io/Logging_2514/artfynd/S 188-2023 artfynd.xlsx", "S 188-2023")</f>
        <v/>
      </c>
      <c r="W19">
        <f>HYPERLINK("https://klasma.github.io/Logging_2514/kartor/S 188-2023 karta.png", "S 188-2023")</f>
        <v/>
      </c>
      <c r="Y19">
        <f>HYPERLINK("https://klasma.github.io/Logging_2514/klagomål/S 188-2023 FSC-klagomål.docx", "S 188-2023")</f>
        <v/>
      </c>
      <c r="Z19">
        <f>HYPERLINK("https://klasma.github.io/Logging_2514/klagomålsmail/S 188-2023 FSC-klagomål mail.docx", "S 188-2023")</f>
        <v/>
      </c>
      <c r="AA19">
        <f>HYPERLINK("https://klasma.github.io/Logging_2514/tillsyn/S 188-2023 tillsynsbegäran.docx", "S 188-2023")</f>
        <v/>
      </c>
      <c r="AB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46221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Fläckporing
Tallticka</t>
        </is>
      </c>
      <c r="V20">
        <f>HYPERLINK("https://klasma.github.io/Logging_2514/artfynd/S 657-2025 artfynd.xlsx", "S 657-2025")</f>
        <v/>
      </c>
      <c r="W20">
        <f>HYPERLINK("https://klasma.github.io/Logging_2514/kartor/S 657-2025 karta.png", "S 657-2025")</f>
        <v/>
      </c>
      <c r="Y20">
        <f>HYPERLINK("https://klasma.github.io/Logging_2514/klagomål/S 657-2025 FSC-klagomål.docx", "S 657-2025")</f>
        <v/>
      </c>
      <c r="Z20">
        <f>HYPERLINK("https://klasma.github.io/Logging_2514/klagomålsmail/S 657-2025 FSC-klagomål mail.docx", "S 657-2025")</f>
        <v/>
      </c>
      <c r="AA20">
        <f>HYPERLINK("https://klasma.github.io/Logging_2514/tillsyn/S 657-2025 tillsynsbegäran.docx", "S 657-2025")</f>
        <v/>
      </c>
      <c r="AB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46221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Garnlav</t>
        </is>
      </c>
      <c r="V21">
        <f>HYPERLINK("https://klasma.github.io/Logging_2514/artfynd/A 34184-2022 artfynd.xlsx", "A 34184-2022")</f>
        <v/>
      </c>
      <c r="W21">
        <f>HYPERLINK("https://klasma.github.io/Logging_2514/kartor/A 34184-2022 karta.png", "A 34184-2022")</f>
        <v/>
      </c>
      <c r="Y21">
        <f>HYPERLINK("https://klasma.github.io/Logging_2514/klagomål/A 34184-2022 FSC-klagomål.docx", "A 34184-2022")</f>
        <v/>
      </c>
      <c r="Z21">
        <f>HYPERLINK("https://klasma.github.io/Logging_2514/klagomålsmail/A 34184-2022 FSC-klagomål mail.docx", "A 34184-2022")</f>
        <v/>
      </c>
      <c r="AA21">
        <f>HYPERLINK("https://klasma.github.io/Logging_2514/tillsyn/A 34184-2022 tillsynsbegäran.docx", "A 34184-2022")</f>
        <v/>
      </c>
      <c r="AB21">
        <f>HYPERLINK("https://klasma.github.io/Logging_2514/tillsynsmail/A 34184-2022 tillsynsbegäran mail.docx", "A 34184-2022")</f>
        <v/>
      </c>
    </row>
    <row r="22" ht="15" customHeight="1">
      <c r="A22" t="inlineStr">
        <is>
          <t>A 18012-2024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45419</v>
      </c>
      <c r="E22" s="1" t="n">
        <v>46221</v>
      </c>
      <c r="F22" t="inlineStr">
        <is>
          <t>NORRBOTTENS LÄN</t>
        </is>
      </c>
      <c r="G22" t="inlineStr">
        <is>
          <t>KALIX</t>
        </is>
      </c>
      <c r="H22" t="inlineStr">
        <is>
          <t>SCA</t>
        </is>
      </c>
      <c r="I22" t="n">
        <v>12.2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Korallrot</t>
        </is>
      </c>
      <c r="V22">
        <f>HYPERLINK("https://klasma.github.io/Logging_2514/artfynd/A 18012-2024 artfynd.xlsx", "A 18012-2024")</f>
        <v/>
      </c>
      <c r="W22">
        <f>HYPERLINK("https://klasma.github.io/Logging_2514/kartor/A 18012-2024 karta.png", "A 18012-2024")</f>
        <v/>
      </c>
      <c r="Y22">
        <f>HYPERLINK("https://klasma.github.io/Logging_2514/klagomål/A 18012-2024 FSC-klagomål.docx", "A 18012-2024")</f>
        <v/>
      </c>
      <c r="Z22">
        <f>HYPERLINK("https://klasma.github.io/Logging_2514/klagomålsmail/A 18012-2024 FSC-klagomål mail.docx", "A 18012-2024")</f>
        <v/>
      </c>
      <c r="AA22">
        <f>HYPERLINK("https://klasma.github.io/Logging_2514/tillsyn/A 18012-2024 tillsynsbegäran.docx", "A 18012-2024")</f>
        <v/>
      </c>
      <c r="AB22">
        <f>HYPERLINK("https://klasma.github.io/Logging_2514/tillsynsmail/A 18012-2024 tillsynsbegäran mail.docx", "A 18012-2024")</f>
        <v/>
      </c>
    </row>
    <row r="23" ht="15" customHeight="1">
      <c r="A23" t="inlineStr">
        <is>
          <t>A 21552-2023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46221</v>
      </c>
      <c r="F23" t="inlineStr">
        <is>
          <t>NORRBOTTENS LÄN</t>
        </is>
      </c>
      <c r="G23" t="inlineStr">
        <is>
          <t>KALIX</t>
        </is>
      </c>
      <c r="I23" t="n">
        <v>3.7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Mattlummer</t>
        </is>
      </c>
      <c r="V23">
        <f>HYPERLINK("https://klasma.github.io/Logging_2514/artfynd/A 21552-2023 artfynd.xlsx", "A 21552-2023")</f>
        <v/>
      </c>
      <c r="W23">
        <f>HYPERLINK("https://klasma.github.io/Logging_2514/kartor/A 21552-2023 karta.png", "A 21552-2023")</f>
        <v/>
      </c>
      <c r="Y23">
        <f>HYPERLINK("https://klasma.github.io/Logging_2514/klagomål/A 21552-2023 FSC-klagomål.docx", "A 21552-2023")</f>
        <v/>
      </c>
      <c r="Z23">
        <f>HYPERLINK("https://klasma.github.io/Logging_2514/klagomålsmail/A 21552-2023 FSC-klagomål mail.docx", "A 21552-2023")</f>
        <v/>
      </c>
      <c r="AA23">
        <f>HYPERLINK("https://klasma.github.io/Logging_2514/tillsyn/A 21552-2023 tillsynsbegäran.docx", "A 21552-2023")</f>
        <v/>
      </c>
      <c r="AB23">
        <f>HYPERLINK("https://klasma.github.io/Logging_2514/tillsynsmail/A 21552-2023 tillsynsbegäran mail.docx", "A 21552-2023")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46221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Garnlav</t>
        </is>
      </c>
      <c r="V24">
        <f>HYPERLINK("https://klasma.github.io/Logging_2514/artfynd/A 46152-2021 artfynd.xlsx", "A 46152-2021")</f>
        <v/>
      </c>
      <c r="W24">
        <f>HYPERLINK("https://klasma.github.io/Logging_2514/kartor/A 46152-2021 karta.png", "A 46152-2021")</f>
        <v/>
      </c>
      <c r="Y24">
        <f>HYPERLINK("https://klasma.github.io/Logging_2514/klagomål/A 46152-2021 FSC-klagomål.docx", "A 46152-2021")</f>
        <v/>
      </c>
      <c r="Z24">
        <f>HYPERLINK("https://klasma.github.io/Logging_2514/klagomålsmail/A 46152-2021 FSC-klagomål mail.docx", "A 46152-2021")</f>
        <v/>
      </c>
      <c r="AA24">
        <f>HYPERLINK("https://klasma.github.io/Logging_2514/tillsyn/A 46152-2021 tillsynsbegäran.docx", "A 46152-2021")</f>
        <v/>
      </c>
      <c r="AB24">
        <f>HYPERLINK("https://klasma.github.io/Logging_2514/tillsynsmail/A 46152-2021 tillsynsbegäran mail.docx", "A 46152-2021")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46221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Gammelgransskål</t>
        </is>
      </c>
      <c r="V25">
        <f>HYPERLINK("https://klasma.github.io/Logging_2514/artfynd/A 2320-2026 artfynd.xlsx", "A 2320-2026")</f>
        <v/>
      </c>
      <c r="W25">
        <f>HYPERLINK("https://klasma.github.io/Logging_2514/kartor/A 2320-2026 karta.png", "A 2320-2026")</f>
        <v/>
      </c>
      <c r="Y25">
        <f>HYPERLINK("https://klasma.github.io/Logging_2514/klagomål/A 2320-2026 FSC-klagomål.docx", "A 2320-2026")</f>
        <v/>
      </c>
      <c r="Z25">
        <f>HYPERLINK("https://klasma.github.io/Logging_2514/klagomålsmail/A 2320-2026 FSC-klagomål mail.docx", "A 2320-2026")</f>
        <v/>
      </c>
      <c r="AA25">
        <f>HYPERLINK("https://klasma.github.io/Logging_2514/tillsyn/A 2320-2026 tillsynsbegäran.docx", "A 2320-2026")</f>
        <v/>
      </c>
      <c r="AB25">
        <f>HYPERLINK("https://klasma.github.io/Logging_2514/tillsynsmail/A 2320-2026 tillsynsbegäran mail.docx", "A 2320-2026")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46221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Stuplav</t>
        </is>
      </c>
      <c r="V26">
        <f>HYPERLINK("https://klasma.github.io/Logging_2514/artfynd/A 20584-2026 artfynd.xlsx", "A 20584-2026")</f>
        <v/>
      </c>
      <c r="W26">
        <f>HYPERLINK("https://klasma.github.io/Logging_2514/kartor/A 20584-2026 karta.png", "A 20584-2026")</f>
        <v/>
      </c>
      <c r="Y26">
        <f>HYPERLINK("https://klasma.github.io/Logging_2514/klagomål/A 20584-2026 FSC-klagomål.docx", "A 20584-2026")</f>
        <v/>
      </c>
      <c r="Z26">
        <f>HYPERLINK("https://klasma.github.io/Logging_2514/klagomålsmail/A 20584-2026 FSC-klagomål mail.docx", "A 20584-2026")</f>
        <v/>
      </c>
      <c r="AA26">
        <f>HYPERLINK("https://klasma.github.io/Logging_2514/tillsyn/A 20584-2026 tillsynsbegäran.docx", "A 20584-2026")</f>
        <v/>
      </c>
      <c r="AB26">
        <f>HYPERLINK("https://klasma.github.io/Logging_2514/tillsynsmail/A 20584-2026 tillsynsbegäran mail.docx", "A 20584-2026")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46221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HYPERLINK("https://klasma.github.io/Logging_2514/artfynd/A 26975-2026 artfynd.xlsx", "A 26975-2026")</f>
        <v/>
      </c>
      <c r="W27">
        <f>HYPERLINK("https://klasma.github.io/Logging_2514/kartor/A 26975-2026 karta.png", "A 26975-2026")</f>
        <v/>
      </c>
      <c r="Y27">
        <f>HYPERLINK("https://klasma.github.io/Logging_2514/klagomål/A 26975-2026 FSC-klagomål.docx", "A 26975-2026")</f>
        <v/>
      </c>
      <c r="Z27">
        <f>HYPERLINK("https://klasma.github.io/Logging_2514/klagomålsmail/A 26975-2026 FSC-klagomål mail.docx", "A 26975-2026")</f>
        <v/>
      </c>
      <c r="AA27">
        <f>HYPERLINK("https://klasma.github.io/Logging_2514/tillsyn/A 26975-2026 tillsynsbegäran.docx", "A 26975-2026")</f>
        <v/>
      </c>
      <c r="AB27">
        <f>HYPERLINK("https://klasma.github.io/Logging_2514/tillsynsmail/A 26975-2026 tillsynsbegäran mail.docx", "A 26975-2026")</f>
        <v/>
      </c>
    </row>
    <row r="28" ht="15" customHeight="1">
      <c r="A28" t="inlineStr">
        <is>
          <t>A 3387-2023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44945</v>
      </c>
      <c r="E28" s="1" t="n">
        <v>46221</v>
      </c>
      <c r="F28" t="inlineStr">
        <is>
          <t>NORRBOTTENS LÄN</t>
        </is>
      </c>
      <c r="G28" t="inlineStr">
        <is>
          <t>KALIX</t>
        </is>
      </c>
      <c r="I28" t="n">
        <v>2.9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Guckusko</t>
        </is>
      </c>
      <c r="V28">
        <f>HYPERLINK("https://klasma.github.io/Logging_2514/artfynd/A 3387-2023 artfynd.xlsx", "A 3387-2023")</f>
        <v/>
      </c>
      <c r="W28">
        <f>HYPERLINK("https://klasma.github.io/Logging_2514/kartor/A 3387-2023 karta.png", "A 3387-2023")</f>
        <v/>
      </c>
      <c r="Y28">
        <f>HYPERLINK("https://klasma.github.io/Logging_2514/klagomål/A 3387-2023 FSC-klagomål.docx", "A 3387-2023")</f>
        <v/>
      </c>
      <c r="Z28">
        <f>HYPERLINK("https://klasma.github.io/Logging_2514/klagomålsmail/A 3387-2023 FSC-klagomål mail.docx", "A 3387-2023")</f>
        <v/>
      </c>
      <c r="AA28">
        <f>HYPERLINK("https://klasma.github.io/Logging_2514/tillsyn/A 3387-2023 tillsynsbegäran.docx", "A 3387-2023")</f>
        <v/>
      </c>
      <c r="AB28">
        <f>HYPERLINK("https://klasma.github.io/Logging_2514/tillsynsmail/A 3387-2023 tillsynsbegäran mail.docx", "A 3387-2023")</f>
        <v/>
      </c>
    </row>
    <row r="29" ht="15" customHeight="1">
      <c r="A29" t="inlineStr">
        <is>
          <t>A 23787-2026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46164</v>
      </c>
      <c r="E29" s="1" t="n">
        <v>46221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14.4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Tallticka</t>
        </is>
      </c>
      <c r="V29">
        <f>HYPERLINK("https://klasma.github.io/Logging_2514/artfynd/A 23787-2026 artfynd.xlsx", "A 23787-2026")</f>
        <v/>
      </c>
      <c r="W29">
        <f>HYPERLINK("https://klasma.github.io/Logging_2514/kartor/A 23787-2026 karta.png", "A 23787-2026")</f>
        <v/>
      </c>
      <c r="Y29">
        <f>HYPERLINK("https://klasma.github.io/Logging_2514/klagomål/A 23787-2026 FSC-klagomål.docx", "A 23787-2026")</f>
        <v/>
      </c>
      <c r="Z29">
        <f>HYPERLINK("https://klasma.github.io/Logging_2514/klagomålsmail/A 23787-2026 FSC-klagomål mail.docx", "A 23787-2026")</f>
        <v/>
      </c>
      <c r="AA29">
        <f>HYPERLINK("https://klasma.github.io/Logging_2514/tillsyn/A 23787-2026 tillsynsbegäran.docx", "A 23787-2026")</f>
        <v/>
      </c>
      <c r="AB29">
        <f>HYPERLINK("https://klasma.github.io/Logging_2514/tillsynsmail/A 23787-2026 tillsynsbegäran mail.docx", "A 23787-2026")</f>
        <v/>
      </c>
    </row>
    <row r="30" ht="15" customHeight="1">
      <c r="A30" t="inlineStr">
        <is>
          <t>A 30693-2026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46211</v>
      </c>
      <c r="E30" s="1" t="n">
        <v>46221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s="2" t="inlineStr">
        <is>
          <t>Garnlav</t>
        </is>
      </c>
      <c r="V30">
        <f>HYPERLINK("https://klasma.github.io/Logging_2514/artfynd/A 30693-2026 artfynd.xlsx", "A 30693-2026")</f>
        <v/>
      </c>
      <c r="W30">
        <f>HYPERLINK("https://klasma.github.io/Logging_2514/kartor/A 30693-2026 karta.png", "A 30693-2026")</f>
        <v/>
      </c>
      <c r="Y30">
        <f>HYPERLINK("https://klasma.github.io/Logging_2514/klagomål/A 30693-2026 FSC-klagomål.docx", "A 30693-2026")</f>
        <v/>
      </c>
      <c r="Z30">
        <f>HYPERLINK("https://klasma.github.io/Logging_2514/klagomålsmail/A 30693-2026 FSC-klagomål mail.docx", "A 30693-2026")</f>
        <v/>
      </c>
      <c r="AA30">
        <f>HYPERLINK("https://klasma.github.io/Logging_2514/tillsyn/A 30693-2026 tillsynsbegäran.docx", "A 30693-2026")</f>
        <v/>
      </c>
      <c r="AB30">
        <f>HYPERLINK("https://klasma.github.io/Logging_2514/tillsynsmail/A 30693-2026 tillsynsbegäran mail.docx", "A 30693-2026")</f>
        <v/>
      </c>
    </row>
    <row r="31" ht="15" customHeight="1">
      <c r="A31" t="inlineStr">
        <is>
          <t>A 24466-2026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46221</v>
      </c>
      <c r="F31" t="inlineStr">
        <is>
          <t>NORRBOTTENS LÄN</t>
        </is>
      </c>
      <c r="G31" t="inlineStr">
        <is>
          <t>KALIX</t>
        </is>
      </c>
      <c r="I31" t="n">
        <v>6.3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Spillkråka</t>
        </is>
      </c>
      <c r="V31">
        <f>HYPERLINK("https://klasma.github.io/Logging_2514/artfynd/A 24466-2026 artfynd.xlsx", "A 24466-2026")</f>
        <v/>
      </c>
      <c r="W31">
        <f>HYPERLINK("https://klasma.github.io/Logging_2514/kartor/A 24466-2026 karta.png", "A 24466-2026")</f>
        <v/>
      </c>
      <c r="Y31">
        <f>HYPERLINK("https://klasma.github.io/Logging_2514/klagomål/A 24466-2026 FSC-klagomål.docx", "A 24466-2026")</f>
        <v/>
      </c>
      <c r="Z31">
        <f>HYPERLINK("https://klasma.github.io/Logging_2514/klagomålsmail/A 24466-2026 FSC-klagomål mail.docx", "A 24466-2026")</f>
        <v/>
      </c>
      <c r="AA31">
        <f>HYPERLINK("https://klasma.github.io/Logging_2514/tillsyn/A 24466-2026 tillsynsbegäran.docx", "A 24466-2026")</f>
        <v/>
      </c>
      <c r="AB31">
        <f>HYPERLINK("https://klasma.github.io/Logging_2514/tillsynsmail/A 24466-2026 tillsynsbegäran mail.docx", "A 24466-2026")</f>
        <v/>
      </c>
      <c r="AC31">
        <f>HYPERLINK("https://klasma.github.io/Logging_2514/fåglar/A 24466-2026 prioriterade fågelarter.docx", "A 24466-2026")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46221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Garnlav</t>
        </is>
      </c>
      <c r="V32">
        <f>HYPERLINK("https://klasma.github.io/Logging_2514/artfynd/A 52902-2021 artfynd.xlsx", "A 52902-2021")</f>
        <v/>
      </c>
      <c r="W32">
        <f>HYPERLINK("https://klasma.github.io/Logging_2514/kartor/A 52902-2021 karta.png", "A 52902-2021")</f>
        <v/>
      </c>
      <c r="Y32">
        <f>HYPERLINK("https://klasma.github.io/Logging_2514/klagomål/A 52902-2021 FSC-klagomål.docx", "A 52902-2021")</f>
        <v/>
      </c>
      <c r="Z32">
        <f>HYPERLINK("https://klasma.github.io/Logging_2514/klagomålsmail/A 52902-2021 FSC-klagomål mail.docx", "A 52902-2021")</f>
        <v/>
      </c>
      <c r="AA32">
        <f>HYPERLINK("https://klasma.github.io/Logging_2514/tillsyn/A 52902-2021 tillsynsbegäran.docx", "A 52902-2021")</f>
        <v/>
      </c>
      <c r="AB32">
        <f>HYPERLINK("https://klasma.github.io/Logging_2514/tillsynsmail/A 52902-2021 tillsynsbegäran mail.docx", "A 52902-2021")</f>
        <v/>
      </c>
    </row>
    <row r="33" ht="15" customHeight="1">
      <c r="A33" t="inlineStr">
        <is>
          <t>S 293-2023</t>
        </is>
      </c>
      <c r="B33" t="inlineStr">
        <is>
          <t>samrådsanmälan</t>
        </is>
      </c>
      <c r="C33" t="inlineStr">
        <is>
          <t>Skogsgödsling</t>
        </is>
      </c>
      <c r="D33" s="1" t="n">
        <v>44956</v>
      </c>
      <c r="E33" s="1" t="n">
        <v>46221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290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HYPERLINK("https://klasma.github.io/Logging_2514/artfynd/S 293-2023 artfynd.xlsx", "S 293-2023")</f>
        <v/>
      </c>
      <c r="W33">
        <f>HYPERLINK("https://klasma.github.io/Logging_2514/kartor/S 293-2023 karta.png", "S 293-2023")</f>
        <v/>
      </c>
      <c r="Y33">
        <f>HYPERLINK("https://klasma.github.io/Logging_2514/klagomål/S 293-2023 FSC-klagomål.docx", "S 293-2023")</f>
        <v/>
      </c>
      <c r="Z33">
        <f>HYPERLINK("https://klasma.github.io/Logging_2514/klagomålsmail/S 293-2023 FSC-klagomål mail.docx", "S 293-2023")</f>
        <v/>
      </c>
      <c r="AA33">
        <f>HYPERLINK("https://klasma.github.io/Logging_2514/tillsyn/S 293-2023 tillsynsbegäran.docx", "S 293-2023")</f>
        <v/>
      </c>
      <c r="AB33">
        <f>HYPERLINK("https://klasma.github.io/Logging_2514/tillsynsmail/S 293-2023 tillsynsbegäran mail.docx", "S 293-2023")</f>
        <v/>
      </c>
      <c r="AC33">
        <f>HYPERLINK("https://klasma.github.io/Logging_2514/fåglar/S 293-2023 prioriterade fågelarter.docx", "S 293-2023")</f>
        <v/>
      </c>
    </row>
    <row r="34" ht="15" customHeight="1">
      <c r="A34" t="inlineStr">
        <is>
          <t>A 49193-2022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46221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48281-2021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46221</v>
      </c>
      <c r="F35" t="inlineStr">
        <is>
          <t>NORRBOTTENS LÄN</t>
        </is>
      </c>
      <c r="G35" t="inlineStr">
        <is>
          <t>KALIX</t>
        </is>
      </c>
      <c r="I35" t="n">
        <v>18.4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58759-2021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46221</v>
      </c>
      <c r="F36" t="inlineStr">
        <is>
          <t>NORRBOTTENS LÄN</t>
        </is>
      </c>
      <c r="G36" t="inlineStr">
        <is>
          <t>KALIX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47546-2022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46221</v>
      </c>
      <c r="F37" t="inlineStr">
        <is>
          <t>NORRBOTTENS LÄN</t>
        </is>
      </c>
      <c r="G37" t="inlineStr">
        <is>
          <t>KALIX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61594-2021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44497</v>
      </c>
      <c r="E38" s="1" t="n">
        <v>46221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44577</v>
      </c>
      <c r="E39" s="1" t="n">
        <v>46221</v>
      </c>
      <c r="F39" t="inlineStr">
        <is>
          <t>NORRBOTTENS LÄN</t>
        </is>
      </c>
      <c r="G39" t="inlineStr">
        <is>
          <t>KALIX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44577</v>
      </c>
      <c r="E40" s="1" t="n">
        <v>46221</v>
      </c>
      <c r="F40" t="inlineStr">
        <is>
          <t>NORRBOTTENS LÄN</t>
        </is>
      </c>
      <c r="G40" t="inlineStr">
        <is>
          <t>KALIX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49845-2022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44862</v>
      </c>
      <c r="E41" s="1" t="n">
        <v>46221</v>
      </c>
      <c r="F41" t="inlineStr">
        <is>
          <t>NORRBOTTENS LÄN</t>
        </is>
      </c>
      <c r="G41" t="inlineStr">
        <is>
          <t>KALIX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44669</v>
      </c>
      <c r="E42" s="1" t="n">
        <v>46221</v>
      </c>
      <c r="F42" t="inlineStr">
        <is>
          <t>NORRBOTTENS LÄN</t>
        </is>
      </c>
      <c r="G42" t="inlineStr">
        <is>
          <t>KALIX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44456</v>
      </c>
      <c r="E43" s="1" t="n">
        <v>46221</v>
      </c>
      <c r="F43" t="inlineStr">
        <is>
          <t>NORRBOTTENS LÄN</t>
        </is>
      </c>
      <c r="G43" t="inlineStr">
        <is>
          <t>KALIX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23272-2022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44720</v>
      </c>
      <c r="E44" s="1" t="n">
        <v>46221</v>
      </c>
      <c r="F44" t="inlineStr">
        <is>
          <t>NORRBOTTENS LÄN</t>
        </is>
      </c>
      <c r="G44" t="inlineStr">
        <is>
          <t>KALIX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44776</v>
      </c>
      <c r="E45" s="1" t="n">
        <v>46221</v>
      </c>
      <c r="F45" t="inlineStr">
        <is>
          <t>NORRBOTTENS LÄN</t>
        </is>
      </c>
      <c r="G45" t="inlineStr">
        <is>
          <t>KALIX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53769-2022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44880</v>
      </c>
      <c r="E46" s="1" t="n">
        <v>46221</v>
      </c>
      <c r="F46" t="inlineStr">
        <is>
          <t>NORRBOTTENS LÄN</t>
        </is>
      </c>
      <c r="G46" t="inlineStr">
        <is>
          <t>KALIX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64889-2021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46221</v>
      </c>
      <c r="F47" t="inlineStr">
        <is>
          <t>NORRBOTTENS LÄN</t>
        </is>
      </c>
      <c r="G47" t="inlineStr">
        <is>
          <t>KALIX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47062-2022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46221</v>
      </c>
      <c r="F48" t="inlineStr">
        <is>
          <t>NORRBOTTENS LÄN</t>
        </is>
      </c>
      <c r="G48" t="inlineStr">
        <is>
          <t>KALIX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44525-2021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46221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49761-2021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46221</v>
      </c>
      <c r="F50" t="inlineStr">
        <is>
          <t>NORRBOTTENS LÄN</t>
        </is>
      </c>
      <c r="G50" t="inlineStr">
        <is>
          <t>KALIX</t>
        </is>
      </c>
      <c r="I50" t="n">
        <v>12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50362-2021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46221</v>
      </c>
      <c r="F51" t="inlineStr">
        <is>
          <t>NORRBOTTENS LÄN</t>
        </is>
      </c>
      <c r="G51" t="inlineStr">
        <is>
          <t>KALIX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53640-2021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44469</v>
      </c>
      <c r="E52" s="1" t="n">
        <v>46221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68804-2021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46221</v>
      </c>
      <c r="F53" t="inlineStr">
        <is>
          <t>NORRBOTTENS LÄN</t>
        </is>
      </c>
      <c r="G53" t="inlineStr">
        <is>
          <t>KALIX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46221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44527-2021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44435</v>
      </c>
      <c r="E55" s="1" t="n">
        <v>46221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52476-2022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46221</v>
      </c>
      <c r="F56" t="inlineStr">
        <is>
          <t>NORRBOTTENS LÄN</t>
        </is>
      </c>
      <c r="G56" t="inlineStr">
        <is>
          <t>KALIX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51182-2021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46221</v>
      </c>
      <c r="F57" t="inlineStr">
        <is>
          <t>NORRBOTTENS LÄN</t>
        </is>
      </c>
      <c r="G57" t="inlineStr">
        <is>
          <t>KALIX</t>
        </is>
      </c>
      <c r="I57" t="n">
        <v>23.1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46221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46221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46221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44833</v>
      </c>
      <c r="E61" s="1" t="n">
        <v>46221</v>
      </c>
      <c r="F61" t="inlineStr">
        <is>
          <t>NORRBOTTENS LÄN</t>
        </is>
      </c>
      <c r="G61" t="inlineStr">
        <is>
          <t>KALIX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42040-2021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44426</v>
      </c>
      <c r="E62" s="1" t="n">
        <v>46221</v>
      </c>
      <c r="F62" t="inlineStr">
        <is>
          <t>NORRBOTTENS LÄN</t>
        </is>
      </c>
      <c r="G62" t="inlineStr">
        <is>
          <t>KALIX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46221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46221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67008-2021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46221</v>
      </c>
      <c r="F65" t="inlineStr">
        <is>
          <t>NORRBOTTENS LÄN</t>
        </is>
      </c>
      <c r="G65" t="inlineStr">
        <is>
          <t>KALIX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46221</v>
      </c>
      <c r="F66" t="inlineStr">
        <is>
          <t>NORRBOTTENS LÄN</t>
        </is>
      </c>
      <c r="G66" t="inlineStr">
        <is>
          <t>KALIX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38857-2022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44816</v>
      </c>
      <c r="E67" s="1" t="n">
        <v>46221</v>
      </c>
      <c r="F67" t="inlineStr">
        <is>
          <t>NORRBOTTENS LÄN</t>
        </is>
      </c>
      <c r="G67" t="inlineStr">
        <is>
          <t>KALIX</t>
        </is>
      </c>
      <c r="H67" t="inlineStr">
        <is>
          <t>Kommuner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46221</v>
      </c>
      <c r="F68" t="inlineStr">
        <is>
          <t>NORRBOTTENS LÄN</t>
        </is>
      </c>
      <c r="G68" t="inlineStr">
        <is>
          <t>KALIX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46221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16216-2024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46221</v>
      </c>
      <c r="F70" t="inlineStr">
        <is>
          <t>NORRBOTTENS LÄN</t>
        </is>
      </c>
      <c r="G70" t="inlineStr">
        <is>
          <t>KALIX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45698</v>
      </c>
      <c r="E71" s="1" t="n">
        <v>46221</v>
      </c>
      <c r="F71" t="inlineStr">
        <is>
          <t>NORRBOTTENS LÄN</t>
        </is>
      </c>
      <c r="G71" t="inlineStr">
        <is>
          <t>KALIX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61720-2023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46221</v>
      </c>
      <c r="F72" t="inlineStr">
        <is>
          <t>NORRBOTTENS LÄN</t>
        </is>
      </c>
      <c r="G72" t="inlineStr">
        <is>
          <t>KALIX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59233-2023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45253</v>
      </c>
      <c r="E73" s="1" t="n">
        <v>46221</v>
      </c>
      <c r="F73" t="inlineStr">
        <is>
          <t>NORRBOTTENS LÄN</t>
        </is>
      </c>
      <c r="G73" t="inlineStr">
        <is>
          <t>KALIX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14207-2024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46221</v>
      </c>
      <c r="F74" t="inlineStr">
        <is>
          <t>NORRBOTTENS LÄN</t>
        </is>
      </c>
      <c r="G74" t="inlineStr">
        <is>
          <t>KALIX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69202-2021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46221</v>
      </c>
      <c r="F75" t="inlineStr">
        <is>
          <t>NORRBOTTENS LÄN</t>
        </is>
      </c>
      <c r="G75" t="inlineStr">
        <is>
          <t>KALIX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58591-2022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46221</v>
      </c>
      <c r="F76" t="inlineStr">
        <is>
          <t>NORRBOTTENS LÄN</t>
        </is>
      </c>
      <c r="G76" t="inlineStr">
        <is>
          <t>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55567-2023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46221</v>
      </c>
      <c r="F77" t="inlineStr">
        <is>
          <t>NORRBOTTENS LÄN</t>
        </is>
      </c>
      <c r="G77" t="inlineStr">
        <is>
          <t>KALIX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59024-2022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44903</v>
      </c>
      <c r="E78" s="1" t="n">
        <v>46221</v>
      </c>
      <c r="F78" t="inlineStr">
        <is>
          <t>NORRBOTTENS LÄN</t>
        </is>
      </c>
      <c r="G78" t="inlineStr">
        <is>
          <t>KALIX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57513-2023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45243</v>
      </c>
      <c r="E79" s="1" t="n">
        <v>46221</v>
      </c>
      <c r="F79" t="inlineStr">
        <is>
          <t>NORRBOTTENS LÄN</t>
        </is>
      </c>
      <c r="G79" t="inlineStr">
        <is>
          <t>KALIX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60955-2022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44907</v>
      </c>
      <c r="E80" s="1" t="n">
        <v>46221</v>
      </c>
      <c r="F80" t="inlineStr">
        <is>
          <t>NORRBOTTENS LÄN</t>
        </is>
      </c>
      <c r="G80" t="inlineStr">
        <is>
          <t>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62165-2023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46221</v>
      </c>
      <c r="F81" t="inlineStr">
        <is>
          <t>NORRBOTTENS LÄN</t>
        </is>
      </c>
      <c r="G81" t="inlineStr">
        <is>
          <t>KALIX</t>
        </is>
      </c>
      <c r="I81" t="n">
        <v>9.5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18008-2024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46221</v>
      </c>
      <c r="F82" t="inlineStr">
        <is>
          <t>NORRBOTTENS LÄN</t>
        </is>
      </c>
      <c r="G82" t="inlineStr">
        <is>
          <t>KALIX</t>
        </is>
      </c>
      <c r="H82" t="inlineStr">
        <is>
          <t>SCA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46221</v>
      </c>
      <c r="F83" t="inlineStr">
        <is>
          <t>NORRBOTTENS LÄN</t>
        </is>
      </c>
      <c r="G83" t="inlineStr">
        <is>
          <t>KALIX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66739-2021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44520</v>
      </c>
      <c r="E84" s="1" t="n">
        <v>46221</v>
      </c>
      <c r="F84" t="inlineStr">
        <is>
          <t>NORRBOTTENS LÄN</t>
        </is>
      </c>
      <c r="G84" t="inlineStr">
        <is>
          <t>KALIX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28958-2024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45481</v>
      </c>
      <c r="E85" s="1" t="n">
        <v>46221</v>
      </c>
      <c r="F85" t="inlineStr">
        <is>
          <t>NORRBOTTENS LÄN</t>
        </is>
      </c>
      <c r="G85" t="inlineStr">
        <is>
          <t>KALIX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68438-2021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44529</v>
      </c>
      <c r="E86" s="1" t="n">
        <v>46221</v>
      </c>
      <c r="F86" t="inlineStr">
        <is>
          <t>NORRBOTTENS LÄN</t>
        </is>
      </c>
      <c r="G86" t="inlineStr">
        <is>
          <t>KALIX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26249-2025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46221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3299-2026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46041</v>
      </c>
      <c r="E88" s="1" t="n">
        <v>46221</v>
      </c>
      <c r="F88" t="inlineStr">
        <is>
          <t>NORRBOTTENS LÄN</t>
        </is>
      </c>
      <c r="G88" t="inlineStr">
        <is>
          <t>KALIX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52710-2022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46221</v>
      </c>
      <c r="F89" t="inlineStr">
        <is>
          <t>NORRBOTTENS LÄN</t>
        </is>
      </c>
      <c r="G89" t="inlineStr">
        <is>
          <t>KALIX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20362-2023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45054</v>
      </c>
      <c r="E90" s="1" t="n">
        <v>46221</v>
      </c>
      <c r="F90" t="inlineStr">
        <is>
          <t>NORRBOTTENS LÄN</t>
        </is>
      </c>
      <c r="G90" t="inlineStr">
        <is>
          <t>KALIX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62444-2022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44924</v>
      </c>
      <c r="E91" s="1" t="n">
        <v>46221</v>
      </c>
      <c r="F91" t="inlineStr">
        <is>
          <t>NORRBOTTENS LÄN</t>
        </is>
      </c>
      <c r="G91" t="inlineStr">
        <is>
          <t>KALIX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58575-2022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46221</v>
      </c>
      <c r="F92" t="inlineStr">
        <is>
          <t>NORRBOTTENS LÄN</t>
        </is>
      </c>
      <c r="G92" t="inlineStr">
        <is>
          <t>KALIX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58592-2022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46221</v>
      </c>
      <c r="F93" t="inlineStr">
        <is>
          <t>NORRBOTTENS LÄN</t>
        </is>
      </c>
      <c r="G93" t="inlineStr">
        <is>
          <t>KALIX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3254-2026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46041</v>
      </c>
      <c r="E94" s="1" t="n">
        <v>46221</v>
      </c>
      <c r="F94" t="inlineStr">
        <is>
          <t>NORRBOTTENS LÄN</t>
        </is>
      </c>
      <c r="G94" t="inlineStr">
        <is>
          <t>KALIX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62970-2023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46221</v>
      </c>
      <c r="F95" t="inlineStr">
        <is>
          <t>NORRBOTTENS LÄN</t>
        </is>
      </c>
      <c r="G95" t="inlineStr">
        <is>
          <t>KALIX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10600-2025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46221</v>
      </c>
      <c r="F96" t="inlineStr">
        <is>
          <t>NORRBOTTENS LÄN</t>
        </is>
      </c>
      <c r="G96" t="inlineStr">
        <is>
          <t>KALIX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46041</v>
      </c>
      <c r="E97" s="1" t="n">
        <v>46221</v>
      </c>
      <c r="F97" t="inlineStr">
        <is>
          <t>NORRBOTTENS LÄN</t>
        </is>
      </c>
      <c r="G97" t="inlineStr">
        <is>
          <t>KALIX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59026-2022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46221</v>
      </c>
      <c r="F98" t="inlineStr">
        <is>
          <t>NORRBOTTENS LÄN</t>
        </is>
      </c>
      <c r="G98" t="inlineStr">
        <is>
          <t>KALIX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46221</v>
      </c>
      <c r="F99" t="inlineStr">
        <is>
          <t>NORRBOTTENS LÄN</t>
        </is>
      </c>
      <c r="G99" t="inlineStr">
        <is>
          <t>KALIX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45692</v>
      </c>
      <c r="E100" s="1" t="n">
        <v>46221</v>
      </c>
      <c r="F100" t="inlineStr">
        <is>
          <t>NORRBOTTENS LÄN</t>
        </is>
      </c>
      <c r="G100" t="inlineStr">
        <is>
          <t>KALIX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19976-2025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46221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45691</v>
      </c>
      <c r="E102" s="1" t="n">
        <v>46221</v>
      </c>
      <c r="F102" t="inlineStr">
        <is>
          <t>NORRBOTTENS LÄN</t>
        </is>
      </c>
      <c r="G102" t="inlineStr">
        <is>
          <t>KALIX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27198-2025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46221</v>
      </c>
      <c r="F103" t="inlineStr">
        <is>
          <t>NORRBOTTENS LÄN</t>
        </is>
      </c>
      <c r="G103" t="inlineStr">
        <is>
          <t>KALIX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27101-2025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46221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27102-2025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46221</v>
      </c>
      <c r="F105" t="inlineStr">
        <is>
          <t>NORRBOTTENS LÄN</t>
        </is>
      </c>
      <c r="G105" t="inlineStr">
        <is>
          <t>KALIX</t>
        </is>
      </c>
      <c r="H105" t="inlineStr">
        <is>
          <t>SCA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27103-2025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46221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27787-2025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46221</v>
      </c>
      <c r="F107" t="inlineStr">
        <is>
          <t>NORRBOTTENS LÄN</t>
        </is>
      </c>
      <c r="G107" t="inlineStr">
        <is>
          <t>KALIX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27745-2025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45815</v>
      </c>
      <c r="E108" s="1" t="n">
        <v>46221</v>
      </c>
      <c r="F108" t="inlineStr">
        <is>
          <t>NORRBOTTENS LÄN</t>
        </is>
      </c>
      <c r="G108" t="inlineStr">
        <is>
          <t>KALIX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27751-2025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45815</v>
      </c>
      <c r="E109" s="1" t="n">
        <v>46221</v>
      </c>
      <c r="F109" t="inlineStr">
        <is>
          <t>NORRBOTTENS LÄN</t>
        </is>
      </c>
      <c r="G109" t="inlineStr">
        <is>
          <t>KALIX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27765-2025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46221</v>
      </c>
      <c r="F110" t="inlineStr">
        <is>
          <t>NORRBOTTENS LÄN</t>
        </is>
      </c>
      <c r="G110" t="inlineStr">
        <is>
          <t>KALIX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27767-2025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46221</v>
      </c>
      <c r="F111" t="inlineStr">
        <is>
          <t>NORRBOTTENS LÄN</t>
        </is>
      </c>
      <c r="G111" t="inlineStr">
        <is>
          <t>KALIX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27782-2025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46221</v>
      </c>
      <c r="F112" t="inlineStr">
        <is>
          <t>NORRBOTTENS LÄN</t>
        </is>
      </c>
      <c r="G112" t="inlineStr">
        <is>
          <t>KALIX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2917-2022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44581</v>
      </c>
      <c r="E113" s="1" t="n">
        <v>46221</v>
      </c>
      <c r="F113" t="inlineStr">
        <is>
          <t>NORRBOTTENS LÄN</t>
        </is>
      </c>
      <c r="G113" t="inlineStr">
        <is>
          <t>KALIX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27747-2025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45815</v>
      </c>
      <c r="E114" s="1" t="n">
        <v>46221</v>
      </c>
      <c r="F114" t="inlineStr">
        <is>
          <t>NORRBOTTENS LÄN</t>
        </is>
      </c>
      <c r="G114" t="inlineStr">
        <is>
          <t>KALIX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45815</v>
      </c>
      <c r="E115" s="1" t="n">
        <v>46221</v>
      </c>
      <c r="F115" t="inlineStr">
        <is>
          <t>NORRBOTTENS LÄN</t>
        </is>
      </c>
      <c r="G115" t="inlineStr">
        <is>
          <t>KALIX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46221</v>
      </c>
      <c r="F116" t="inlineStr">
        <is>
          <t>NORRBOTTENS LÄN</t>
        </is>
      </c>
      <c r="G116" t="inlineStr">
        <is>
          <t>KALIX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27764-2025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46221</v>
      </c>
      <c r="F117" t="inlineStr">
        <is>
          <t>NORRBOTTENS LÄN</t>
        </is>
      </c>
      <c r="G117" t="inlineStr">
        <is>
          <t>KALIX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27771-2025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45816</v>
      </c>
      <c r="E118" s="1" t="n">
        <v>46221</v>
      </c>
      <c r="F118" t="inlineStr">
        <is>
          <t>NORRBOTTENS LÄN</t>
        </is>
      </c>
      <c r="G118" t="inlineStr">
        <is>
          <t>KALIX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14100-2025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46221</v>
      </c>
      <c r="F119" t="inlineStr">
        <is>
          <t>NORRBOTTENS LÄN</t>
        </is>
      </c>
      <c r="G119" t="inlineStr">
        <is>
          <t>KALIX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46752-2024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45583</v>
      </c>
      <c r="E120" s="1" t="n">
        <v>46221</v>
      </c>
      <c r="F120" t="inlineStr">
        <is>
          <t>NORRBOTTENS LÄN</t>
        </is>
      </c>
      <c r="G120" t="inlineStr">
        <is>
          <t>KALIX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27752-2025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45815</v>
      </c>
      <c r="E121" s="1" t="n">
        <v>46221</v>
      </c>
      <c r="F121" t="inlineStr">
        <is>
          <t>NORRBOTTENS LÄN</t>
        </is>
      </c>
      <c r="G121" t="inlineStr">
        <is>
          <t>KALIX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27763-2025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46221</v>
      </c>
      <c r="F122" t="inlineStr">
        <is>
          <t>NORRBOTTENS LÄN</t>
        </is>
      </c>
      <c r="G122" t="inlineStr">
        <is>
          <t>KALIX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46221</v>
      </c>
      <c r="F123" t="inlineStr">
        <is>
          <t>NORRBOTTENS LÄN</t>
        </is>
      </c>
      <c r="G123" t="inlineStr">
        <is>
          <t>KALIX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27762-2025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46221</v>
      </c>
      <c r="F124" t="inlineStr">
        <is>
          <t>NORRBOTTENS LÄN</t>
        </is>
      </c>
      <c r="G124" t="inlineStr">
        <is>
          <t>KALIX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27772-2025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46221</v>
      </c>
      <c r="F125" t="inlineStr">
        <is>
          <t>NORRBOTTENS LÄN</t>
        </is>
      </c>
      <c r="G125" t="inlineStr">
        <is>
          <t>KALIX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27774-2025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46221</v>
      </c>
      <c r="F126" t="inlineStr">
        <is>
          <t>NORRBOTTENS LÄN</t>
        </is>
      </c>
      <c r="G126" t="inlineStr">
        <is>
          <t>KALIX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27778-2025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46221</v>
      </c>
      <c r="F127" t="inlineStr">
        <is>
          <t>NORRBOTTENS LÄN</t>
        </is>
      </c>
      <c r="G127" t="inlineStr">
        <is>
          <t>KALIX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27780-2025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46221</v>
      </c>
      <c r="F128" t="inlineStr">
        <is>
          <t>NORRBOTTENS LÄN</t>
        </is>
      </c>
      <c r="G128" t="inlineStr">
        <is>
          <t>KALIX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27781-2025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46221</v>
      </c>
      <c r="F129" t="inlineStr">
        <is>
          <t>NORRBOTTENS LÄN</t>
        </is>
      </c>
      <c r="G129" t="inlineStr">
        <is>
          <t>KALIX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27783-2025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46221</v>
      </c>
      <c r="F130" t="inlineStr">
        <is>
          <t>NORRBOTTENS LÄN</t>
        </is>
      </c>
      <c r="G130" t="inlineStr">
        <is>
          <t>KALIX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27784-2025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46221</v>
      </c>
      <c r="F131" t="inlineStr">
        <is>
          <t>NORRBOTTENS LÄN</t>
        </is>
      </c>
      <c r="G131" t="inlineStr">
        <is>
          <t>KALIX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58583-2022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44894</v>
      </c>
      <c r="E132" s="1" t="n">
        <v>46221</v>
      </c>
      <c r="F132" t="inlineStr">
        <is>
          <t>NORRBOTTENS LÄN</t>
        </is>
      </c>
      <c r="G132" t="inlineStr">
        <is>
          <t>KALIX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27768-2025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46221</v>
      </c>
      <c r="F133" t="inlineStr">
        <is>
          <t>NORRBOTTENS LÄN</t>
        </is>
      </c>
      <c r="G133" t="inlineStr">
        <is>
          <t>KALIX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27770-2025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46221</v>
      </c>
      <c r="F134" t="inlineStr">
        <is>
          <t>NORRBOTTENS LÄN</t>
        </is>
      </c>
      <c r="G134" t="inlineStr">
        <is>
          <t>KALIX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27773-2025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46221</v>
      </c>
      <c r="F135" t="inlineStr">
        <is>
          <t>NORRBOTTENS LÄN</t>
        </is>
      </c>
      <c r="G135" t="inlineStr">
        <is>
          <t>KALIX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27786-2025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46221</v>
      </c>
      <c r="F136" t="inlineStr">
        <is>
          <t>NORRBOTTENS LÄN</t>
        </is>
      </c>
      <c r="G136" t="inlineStr">
        <is>
          <t>KALIX</t>
        </is>
      </c>
      <c r="I136" t="n">
        <v>18.4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17856-2023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45037</v>
      </c>
      <c r="E137" s="1" t="n">
        <v>46221</v>
      </c>
      <c r="F137" t="inlineStr">
        <is>
          <t>NORRBOTTENS LÄN</t>
        </is>
      </c>
      <c r="G137" t="inlineStr">
        <is>
          <t>KALIX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7236-2022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44603</v>
      </c>
      <c r="E138" s="1" t="n">
        <v>46221</v>
      </c>
      <c r="F138" t="inlineStr">
        <is>
          <t>NORRBOTTENS LÄN</t>
        </is>
      </c>
      <c r="G138" t="inlineStr">
        <is>
          <t>KALIX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28846-2025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46221</v>
      </c>
      <c r="F139" t="inlineStr">
        <is>
          <t>NORRBOTTENS LÄN</t>
        </is>
      </c>
      <c r="G139" t="inlineStr">
        <is>
          <t>KALIX</t>
        </is>
      </c>
      <c r="H139" t="inlineStr">
        <is>
          <t>SCA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28847-2025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46221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46221</v>
      </c>
      <c r="F141" t="inlineStr">
        <is>
          <t>NORRBOTTENS LÄN</t>
        </is>
      </c>
      <c r="G141" t="inlineStr">
        <is>
          <t>KALIX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24889-2025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46221</v>
      </c>
      <c r="F142" t="inlineStr">
        <is>
          <t>NORRBOTTENS LÄN</t>
        </is>
      </c>
      <c r="G142" t="inlineStr">
        <is>
          <t>KALIX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39501-2025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46221</v>
      </c>
      <c r="F143" t="inlineStr">
        <is>
          <t>NORRBOTTENS LÄN</t>
        </is>
      </c>
      <c r="G143" t="inlineStr">
        <is>
          <t>KALIX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33582-2025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46221</v>
      </c>
      <c r="F144" t="inlineStr">
        <is>
          <t>NORRBOTTENS LÄN</t>
        </is>
      </c>
      <c r="G144" t="inlineStr">
        <is>
          <t>KALIX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60488-2023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46221</v>
      </c>
      <c r="F145" t="inlineStr">
        <is>
          <t>NORRBOTTENS LÄN</t>
        </is>
      </c>
      <c r="G145" t="inlineStr">
        <is>
          <t>KALIX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39689-2025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46221</v>
      </c>
      <c r="F146" t="inlineStr">
        <is>
          <t>NORRBOTTENS LÄN</t>
        </is>
      </c>
      <c r="G146" t="inlineStr">
        <is>
          <t>KALIX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13817-2025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46221</v>
      </c>
      <c r="F147" t="inlineStr">
        <is>
          <t>NORRBOTTENS LÄN</t>
        </is>
      </c>
      <c r="G147" t="inlineStr">
        <is>
          <t>KALIX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40036-2024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46221</v>
      </c>
      <c r="F148" t="inlineStr">
        <is>
          <t>NORRBOTTENS LÄN</t>
        </is>
      </c>
      <c r="G148" t="inlineStr">
        <is>
          <t>KALIX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39958-2025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45892</v>
      </c>
      <c r="E149" s="1" t="n">
        <v>46221</v>
      </c>
      <c r="F149" t="inlineStr">
        <is>
          <t>NORRBOTTENS LÄN</t>
        </is>
      </c>
      <c r="G149" t="inlineStr">
        <is>
          <t>KALIX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39959-2025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45892</v>
      </c>
      <c r="E150" s="1" t="n">
        <v>46221</v>
      </c>
      <c r="F150" t="inlineStr">
        <is>
          <t>NORRBOTTENS LÄN</t>
        </is>
      </c>
      <c r="G150" t="inlineStr">
        <is>
          <t>KALIX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29655-2025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45825</v>
      </c>
      <c r="E151" s="1" t="n">
        <v>46221</v>
      </c>
      <c r="F151" t="inlineStr">
        <is>
          <t>NORRBOTTENS LÄN</t>
        </is>
      </c>
      <c r="G151" t="inlineStr">
        <is>
          <t>KALIX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58991-2023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45225</v>
      </c>
      <c r="E152" s="1" t="n">
        <v>46221</v>
      </c>
      <c r="F152" t="inlineStr">
        <is>
          <t>NORRBOTTENS LÄN</t>
        </is>
      </c>
      <c r="G152" t="inlineStr">
        <is>
          <t>KALIX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30164-2025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46221</v>
      </c>
      <c r="F153" t="inlineStr">
        <is>
          <t>NORRBOTTENS LÄN</t>
        </is>
      </c>
      <c r="G153" t="inlineStr">
        <is>
          <t>KALIX</t>
        </is>
      </c>
      <c r="I153" t="n">
        <v>26.1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30232-2025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46221</v>
      </c>
      <c r="F154" t="inlineStr">
        <is>
          <t>NORRBOTTENS LÄN</t>
        </is>
      </c>
      <c r="G154" t="inlineStr">
        <is>
          <t>KALIX</t>
        </is>
      </c>
      <c r="I154" t="n">
        <v>10.6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30715-2025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46221</v>
      </c>
      <c r="F155" t="inlineStr">
        <is>
          <t>NORRBOTTENS LÄN</t>
        </is>
      </c>
      <c r="G155" t="inlineStr">
        <is>
          <t>KALIX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31209-2025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45832</v>
      </c>
      <c r="E156" s="1" t="n">
        <v>46221</v>
      </c>
      <c r="F156" t="inlineStr">
        <is>
          <t>NORRBOTTENS LÄN</t>
        </is>
      </c>
      <c r="G156" t="inlineStr">
        <is>
          <t>KALIX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46221</v>
      </c>
      <c r="F157" t="inlineStr">
        <is>
          <t>NORRBOTTENS LÄN</t>
        </is>
      </c>
      <c r="G157" t="inlineStr">
        <is>
          <t>KALIX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46221</v>
      </c>
      <c r="F158" t="inlineStr">
        <is>
          <t>NORRBOTTENS LÄN</t>
        </is>
      </c>
      <c r="G158" t="inlineStr">
        <is>
          <t>KALIX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42158-2025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46221</v>
      </c>
      <c r="F159" t="inlineStr">
        <is>
          <t>NORRBOTTENS LÄN</t>
        </is>
      </c>
      <c r="G159" t="inlineStr">
        <is>
          <t>KALIX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8283-2025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46221</v>
      </c>
      <c r="F160" t="inlineStr">
        <is>
          <t>NORRBOTTENS LÄN</t>
        </is>
      </c>
      <c r="G160" t="inlineStr">
        <is>
          <t>KALIX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42142-2025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46221</v>
      </c>
      <c r="F161" t="inlineStr">
        <is>
          <t>NORRBOTTENS LÄN</t>
        </is>
      </c>
      <c r="G161" t="inlineStr">
        <is>
          <t>KALIX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45906</v>
      </c>
      <c r="E162" s="1" t="n">
        <v>46221</v>
      </c>
      <c r="F162" t="inlineStr">
        <is>
          <t>NORRBOTTENS LÄN</t>
        </is>
      </c>
      <c r="G162" t="inlineStr">
        <is>
          <t>KALIX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32242-2025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46221</v>
      </c>
      <c r="F163" t="inlineStr">
        <is>
          <t>NORRBOTTENS LÄN</t>
        </is>
      </c>
      <c r="G163" t="inlineStr">
        <is>
          <t>KALIX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42974-2025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46221</v>
      </c>
      <c r="F164" t="inlineStr">
        <is>
          <t>NORRBOTTENS LÄN</t>
        </is>
      </c>
      <c r="G164" t="inlineStr">
        <is>
          <t>KALIX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43081-2025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46221</v>
      </c>
      <c r="F165" t="inlineStr">
        <is>
          <t>NORRBOTTENS LÄN</t>
        </is>
      </c>
      <c r="G165" t="inlineStr">
        <is>
          <t>KALIX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60516-2023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45259</v>
      </c>
      <c r="E166" s="1" t="n">
        <v>46221</v>
      </c>
      <c r="F166" t="inlineStr">
        <is>
          <t>NORRBOTTENS LÄN</t>
        </is>
      </c>
      <c r="G166" t="inlineStr">
        <is>
          <t>KALIX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32244-2025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46221</v>
      </c>
      <c r="F167" t="inlineStr">
        <is>
          <t>NORRBOTTENS LÄN</t>
        </is>
      </c>
      <c r="G167" t="inlineStr">
        <is>
          <t>KALIX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19536-2024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45429</v>
      </c>
      <c r="E168" s="1" t="n">
        <v>46221</v>
      </c>
      <c r="F168" t="inlineStr">
        <is>
          <t>NORRBOTTENS LÄN</t>
        </is>
      </c>
      <c r="G168" t="inlineStr">
        <is>
          <t>KALIX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43671-2025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45912</v>
      </c>
      <c r="E169" s="1" t="n">
        <v>46221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44239-2025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46221</v>
      </c>
      <c r="F170" t="inlineStr">
        <is>
          <t>NORRBOTTENS LÄN</t>
        </is>
      </c>
      <c r="G170" t="inlineStr">
        <is>
          <t>KALIX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46221</v>
      </c>
      <c r="F171" t="inlineStr">
        <is>
          <t>NORRBOTTENS LÄN</t>
        </is>
      </c>
      <c r="G171" t="inlineStr">
        <is>
          <t>KALIX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44350-2025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45916</v>
      </c>
      <c r="E172" s="1" t="n">
        <v>46221</v>
      </c>
      <c r="F172" t="inlineStr">
        <is>
          <t>NORRBOTTENS LÄN</t>
        </is>
      </c>
      <c r="G172" t="inlineStr">
        <is>
          <t>KALIX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46622-2021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44445</v>
      </c>
      <c r="E173" s="1" t="n">
        <v>46221</v>
      </c>
      <c r="F173" t="inlineStr">
        <is>
          <t>NORRBOTTENS LÄN</t>
        </is>
      </c>
      <c r="G173" t="inlineStr">
        <is>
          <t>KALIX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40017-2025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46221</v>
      </c>
      <c r="F174" t="inlineStr">
        <is>
          <t>NORRBOTTENS LÄN</t>
        </is>
      </c>
      <c r="G174" t="inlineStr">
        <is>
          <t>KALIX</t>
        </is>
      </c>
      <c r="I174" t="n">
        <v>9.199999999999999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33619-2025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46221</v>
      </c>
      <c r="F175" t="inlineStr">
        <is>
          <t>NORRBOTTENS LÄN</t>
        </is>
      </c>
      <c r="G175" t="inlineStr">
        <is>
          <t>KALIX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44748-2025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46221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33791-2025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45842</v>
      </c>
      <c r="E177" s="1" t="n">
        <v>46221</v>
      </c>
      <c r="F177" t="inlineStr">
        <is>
          <t>NORRBOTTENS LÄN</t>
        </is>
      </c>
      <c r="G177" t="inlineStr">
        <is>
          <t>KALIX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33792-2025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46221</v>
      </c>
      <c r="F178" t="inlineStr">
        <is>
          <t>NORRBOTTENS LÄN</t>
        </is>
      </c>
      <c r="G178" t="inlineStr">
        <is>
          <t>KALIX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30676-2023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45112</v>
      </c>
      <c r="E179" s="1" t="n">
        <v>46221</v>
      </c>
      <c r="F179" t="inlineStr">
        <is>
          <t>NORRBOTTENS LÄN</t>
        </is>
      </c>
      <c r="G179" t="inlineStr">
        <is>
          <t>KALIX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33807-2025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46221</v>
      </c>
      <c r="F180" t="inlineStr">
        <is>
          <t>NORRBOTTENS LÄN</t>
        </is>
      </c>
      <c r="G180" t="inlineStr">
        <is>
          <t>KALIX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17583-2024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45415</v>
      </c>
      <c r="E181" s="1" t="n">
        <v>46221</v>
      </c>
      <c r="F181" t="inlineStr">
        <is>
          <t>NORRBOTTENS LÄN</t>
        </is>
      </c>
      <c r="G181" t="inlineStr">
        <is>
          <t>KALIX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31721-2022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44776</v>
      </c>
      <c r="E182" s="1" t="n">
        <v>46221</v>
      </c>
      <c r="F182" t="inlineStr">
        <is>
          <t>NORRBOTTENS LÄN</t>
        </is>
      </c>
      <c r="G182" t="inlineStr">
        <is>
          <t>KALIX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45080-2025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46221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62446-2022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46221</v>
      </c>
      <c r="F184" t="inlineStr">
        <is>
          <t>NORRBOTTENS LÄN</t>
        </is>
      </c>
      <c r="G184" t="inlineStr">
        <is>
          <t>KALIX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47565-2024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45587</v>
      </c>
      <c r="E185" s="1" t="n">
        <v>46221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27615-2025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45813</v>
      </c>
      <c r="E186" s="1" t="n">
        <v>46221</v>
      </c>
      <c r="F186" t="inlineStr">
        <is>
          <t>NORRBOTTENS LÄN</t>
        </is>
      </c>
      <c r="G186" t="inlineStr">
        <is>
          <t>KALIX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18227-2024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45420</v>
      </c>
      <c r="E187" s="1" t="n">
        <v>46221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45295</v>
      </c>
      <c r="E188" s="1" t="n">
        <v>46221</v>
      </c>
      <c r="F188" t="inlineStr">
        <is>
          <t>NORRBOTTENS LÄN</t>
        </is>
      </c>
      <c r="G188" t="inlineStr">
        <is>
          <t>KALIX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46488-2025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46221</v>
      </c>
      <c r="F189" t="inlineStr">
        <is>
          <t>NORRBOTTENS LÄN</t>
        </is>
      </c>
      <c r="G189" t="inlineStr">
        <is>
          <t>KALIX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45851</v>
      </c>
      <c r="E190" s="1" t="n">
        <v>46221</v>
      </c>
      <c r="F190" t="inlineStr">
        <is>
          <t>NORRBOTTENS LÄN</t>
        </is>
      </c>
      <c r="G190" t="inlineStr">
        <is>
          <t>KALIX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46478-2025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46221</v>
      </c>
      <c r="F191" t="inlineStr">
        <is>
          <t>NORRBOTTENS LÄN</t>
        </is>
      </c>
      <c r="G191" t="inlineStr">
        <is>
          <t>KALIX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46665-2025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46221</v>
      </c>
      <c r="F192" t="inlineStr">
        <is>
          <t>NORRBOTTENS LÄN</t>
        </is>
      </c>
      <c r="G192" t="inlineStr">
        <is>
          <t>KALIX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19311-2023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45049</v>
      </c>
      <c r="E193" s="1" t="n">
        <v>46221</v>
      </c>
      <c r="F193" t="inlineStr">
        <is>
          <t>NORRBOTTENS LÄN</t>
        </is>
      </c>
      <c r="G193" t="inlineStr">
        <is>
          <t>KALIX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47429-2025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46221</v>
      </c>
      <c r="F194" t="inlineStr">
        <is>
          <t>NORRBOTTENS LÄN</t>
        </is>
      </c>
      <c r="G194" t="inlineStr">
        <is>
          <t>KALIX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47436-2025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46221</v>
      </c>
      <c r="F195" t="inlineStr">
        <is>
          <t>NORRBOTTENS LÄN</t>
        </is>
      </c>
      <c r="G195" t="inlineStr">
        <is>
          <t>KALIX</t>
        </is>
      </c>
      <c r="H195" t="inlineStr">
        <is>
          <t>SCA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46982-2025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46221</v>
      </c>
      <c r="F196" t="inlineStr">
        <is>
          <t>NORRBOTTENS LÄN</t>
        </is>
      </c>
      <c r="G196" t="inlineStr">
        <is>
          <t>KALIX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47375-2025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46221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46221</v>
      </c>
      <c r="F198" t="inlineStr">
        <is>
          <t>NORRBOTTENS LÄN</t>
        </is>
      </c>
      <c r="G198" t="inlineStr">
        <is>
          <t>KALIX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46221</v>
      </c>
      <c r="F199" t="inlineStr">
        <is>
          <t>NORRBOTTENS LÄN</t>
        </is>
      </c>
      <c r="G199" t="inlineStr">
        <is>
          <t>KALIX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46221</v>
      </c>
      <c r="F200" t="inlineStr">
        <is>
          <t>NORRBOTTENS LÄN</t>
        </is>
      </c>
      <c r="G200" t="inlineStr">
        <is>
          <t>KALIX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47074-2025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46221</v>
      </c>
      <c r="F201" t="inlineStr">
        <is>
          <t>NORRBOTTENS LÄN</t>
        </is>
      </c>
      <c r="G201" t="inlineStr">
        <is>
          <t>KALIX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46221</v>
      </c>
      <c r="F202" t="inlineStr">
        <is>
          <t>NORRBOTTENS LÄN</t>
        </is>
      </c>
      <c r="G202" t="inlineStr">
        <is>
          <t>KALIX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47983-2025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45932</v>
      </c>
      <c r="E203" s="1" t="n">
        <v>46221</v>
      </c>
      <c r="F203" t="inlineStr">
        <is>
          <t>NORRBOTTENS LÄN</t>
        </is>
      </c>
      <c r="G203" t="inlineStr">
        <is>
          <t>KALIX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47924-2025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46221</v>
      </c>
      <c r="F204" t="inlineStr">
        <is>
          <t>NORRBOTTENS LÄN</t>
        </is>
      </c>
      <c r="G204" t="inlineStr">
        <is>
          <t>KALIX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47713-2025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46221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47811-2025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46221</v>
      </c>
      <c r="F206" t="inlineStr">
        <is>
          <t>NORRBOTTENS LÄN</t>
        </is>
      </c>
      <c r="G206" t="inlineStr">
        <is>
          <t>KALIX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48519-2025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46221</v>
      </c>
      <c r="F207" t="inlineStr">
        <is>
          <t>NORRBOTTENS LÄN</t>
        </is>
      </c>
      <c r="G207" t="inlineStr">
        <is>
          <t>KALIX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48521-2025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46221</v>
      </c>
      <c r="F208" t="inlineStr">
        <is>
          <t>NORRBOTTENS LÄN</t>
        </is>
      </c>
      <c r="G208" t="inlineStr">
        <is>
          <t>KALIX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36100-2025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45866</v>
      </c>
      <c r="E209" s="1" t="n">
        <v>46221</v>
      </c>
      <c r="F209" t="inlineStr">
        <is>
          <t>NORRBOTTENS LÄN</t>
        </is>
      </c>
      <c r="G209" t="inlineStr">
        <is>
          <t>KALIX</t>
        </is>
      </c>
      <c r="H209" t="inlineStr">
        <is>
          <t>Sveaskog</t>
        </is>
      </c>
      <c r="I209" t="n">
        <v>14.8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44950</v>
      </c>
      <c r="E210" s="1" t="n">
        <v>46221</v>
      </c>
      <c r="F210" t="inlineStr">
        <is>
          <t>NORRBOTTENS LÄN</t>
        </is>
      </c>
      <c r="G210" t="inlineStr">
        <is>
          <t>KALIX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7234-2026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46221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48383-2025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46221</v>
      </c>
      <c r="F212" t="inlineStr">
        <is>
          <t>NORRBOTTENS LÄN</t>
        </is>
      </c>
      <c r="G212" t="inlineStr">
        <is>
          <t>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48644-2025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46221</v>
      </c>
      <c r="F213" t="inlineStr">
        <is>
          <t>NORRBOTTENS LÄN</t>
        </is>
      </c>
      <c r="G213" t="inlineStr">
        <is>
          <t>KALIX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36229-2025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46221</v>
      </c>
      <c r="F214" t="inlineStr">
        <is>
          <t>NORRBOTTENS LÄN</t>
        </is>
      </c>
      <c r="G214" t="inlineStr">
        <is>
          <t>KALIX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48602-2025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46221</v>
      </c>
      <c r="F215" t="inlineStr">
        <is>
          <t>NORRBOTTENS LÄN</t>
        </is>
      </c>
      <c r="G215" t="inlineStr">
        <is>
          <t>KALIX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48642-2025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46221</v>
      </c>
      <c r="F216" t="inlineStr">
        <is>
          <t>NORRBOTTENS LÄN</t>
        </is>
      </c>
      <c r="G216" t="inlineStr">
        <is>
          <t>KALIX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64907-2021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44512</v>
      </c>
      <c r="E217" s="1" t="n">
        <v>46221</v>
      </c>
      <c r="F217" t="inlineStr">
        <is>
          <t>NORRBOTTENS LÄN</t>
        </is>
      </c>
      <c r="G217" t="inlineStr">
        <is>
          <t>KALIX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48784-2025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46221</v>
      </c>
      <c r="F218" t="inlineStr">
        <is>
          <t>NORRBOTTENS LÄN</t>
        </is>
      </c>
      <c r="G218" t="inlineStr">
        <is>
          <t>KALIX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14404-2023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46221</v>
      </c>
      <c r="F219" t="inlineStr">
        <is>
          <t>NORRBOTTENS LÄN</t>
        </is>
      </c>
      <c r="G219" t="inlineStr">
        <is>
          <t>KALIX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49410-2025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46221</v>
      </c>
      <c r="F220" t="inlineStr">
        <is>
          <t>NORRBOTTENS LÄN</t>
        </is>
      </c>
      <c r="G220" t="inlineStr">
        <is>
          <t>KALIX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49887-2025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45940</v>
      </c>
      <c r="E221" s="1" t="n">
        <v>46221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8272-2023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44974</v>
      </c>
      <c r="E222" s="1" t="n">
        <v>46221</v>
      </c>
      <c r="F222" t="inlineStr">
        <is>
          <t>NORRBOTTENS LÄN</t>
        </is>
      </c>
      <c r="G222" t="inlineStr">
        <is>
          <t>KALIX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49662-2025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46221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44956</v>
      </c>
      <c r="E224" s="1" t="n">
        <v>46221</v>
      </c>
      <c r="F224" t="inlineStr">
        <is>
          <t>NORRBOTTENS LÄN</t>
        </is>
      </c>
      <c r="G224" t="inlineStr">
        <is>
          <t>KALIX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50044-2025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46221</v>
      </c>
      <c r="F225" t="inlineStr">
        <is>
          <t>NORRBOTTENS LÄN</t>
        </is>
      </c>
      <c r="G225" t="inlineStr">
        <is>
          <t>KALIX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50194-2025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45943</v>
      </c>
      <c r="E226" s="1" t="n">
        <v>46221</v>
      </c>
      <c r="F226" t="inlineStr">
        <is>
          <t>NORRBOTTENS LÄN</t>
        </is>
      </c>
      <c r="G226" t="inlineStr">
        <is>
          <t>KALIX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50025-2025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46221</v>
      </c>
      <c r="F227" t="inlineStr">
        <is>
          <t>NORRBOTTENS LÄN</t>
        </is>
      </c>
      <c r="G227" t="inlineStr">
        <is>
          <t>KALIX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50211-2025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46221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45810</v>
      </c>
      <c r="E229" s="1" t="n">
        <v>46221</v>
      </c>
      <c r="F229" t="inlineStr">
        <is>
          <t>NORRBOTTENS LÄN</t>
        </is>
      </c>
      <c r="G229" t="inlineStr">
        <is>
          <t>KALIX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10071-2024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45364</v>
      </c>
      <c r="E230" s="1" t="n">
        <v>46221</v>
      </c>
      <c r="F230" t="inlineStr">
        <is>
          <t>NORRBOTTENS LÄN</t>
        </is>
      </c>
      <c r="G230" t="inlineStr">
        <is>
          <t>KALIX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50414-2025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46221</v>
      </c>
      <c r="F231" t="inlineStr">
        <is>
          <t>NORRBOTTENS LÄN</t>
        </is>
      </c>
      <c r="G231" t="inlineStr">
        <is>
          <t>KALIX</t>
        </is>
      </c>
      <c r="I231" t="n">
        <v>9.800000000000001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35674-2025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45859</v>
      </c>
      <c r="E232" s="1" t="n">
        <v>46221</v>
      </c>
      <c r="F232" t="inlineStr">
        <is>
          <t>NORRBOTTENS LÄN</t>
        </is>
      </c>
      <c r="G232" t="inlineStr">
        <is>
          <t>KALIX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50886-2025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45946</v>
      </c>
      <c r="E233" s="1" t="n">
        <v>46221</v>
      </c>
      <c r="F233" t="inlineStr">
        <is>
          <t>NORRBOTTENS LÄN</t>
        </is>
      </c>
      <c r="G233" t="inlineStr">
        <is>
          <t>KALIX</t>
        </is>
      </c>
      <c r="H233" t="inlineStr">
        <is>
          <t>SCA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33605-2025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46221</v>
      </c>
      <c r="F234" t="inlineStr">
        <is>
          <t>NORRBOTTENS LÄN</t>
        </is>
      </c>
      <c r="G234" t="inlineStr">
        <is>
          <t>KALIX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50899-2025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46221</v>
      </c>
      <c r="F235" t="inlineStr">
        <is>
          <t>NORRBOTTENS LÄN</t>
        </is>
      </c>
      <c r="G235" t="inlineStr">
        <is>
          <t>KALIX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50595-2025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46221</v>
      </c>
      <c r="F236" t="inlineStr">
        <is>
          <t>NORRBOTTENS LÄN</t>
        </is>
      </c>
      <c r="G236" t="inlineStr">
        <is>
          <t>KALIX</t>
        </is>
      </c>
      <c r="I236" t="n">
        <v>10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50605-2025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46221</v>
      </c>
      <c r="F237" t="inlineStr">
        <is>
          <t>NORRBOTTENS LÄN</t>
        </is>
      </c>
      <c r="G237" t="inlineStr">
        <is>
          <t>KALIX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50610-2025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46221</v>
      </c>
      <c r="F238" t="inlineStr">
        <is>
          <t>NORRBOTTENS LÄN</t>
        </is>
      </c>
      <c r="G238" t="inlineStr">
        <is>
          <t>KALIX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50615-2025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46221</v>
      </c>
      <c r="F239" t="inlineStr">
        <is>
          <t>NORRBOTTENS LÄN</t>
        </is>
      </c>
      <c r="G239" t="inlineStr">
        <is>
          <t>KALIX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50888-2025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46221</v>
      </c>
      <c r="F240" t="inlineStr">
        <is>
          <t>NORRBOTTENS LÄN</t>
        </is>
      </c>
      <c r="G240" t="inlineStr">
        <is>
          <t>KALIX</t>
        </is>
      </c>
      <c r="H240" t="inlineStr">
        <is>
          <t>SCA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50495-2025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45945</v>
      </c>
      <c r="E241" s="1" t="n">
        <v>46221</v>
      </c>
      <c r="F241" t="inlineStr">
        <is>
          <t>NORRBOTTENS LÄN</t>
        </is>
      </c>
      <c r="G241" t="inlineStr">
        <is>
          <t>KALIX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17435-2023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45035</v>
      </c>
      <c r="E242" s="1" t="n">
        <v>46221</v>
      </c>
      <c r="F242" t="inlineStr">
        <is>
          <t>NORRBOTTENS LÄN</t>
        </is>
      </c>
      <c r="G242" t="inlineStr">
        <is>
          <t>KALIX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57117-2024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45629</v>
      </c>
      <c r="E243" s="1" t="n">
        <v>46221</v>
      </c>
      <c r="F243" t="inlineStr">
        <is>
          <t>NORRBOTTENS LÄN</t>
        </is>
      </c>
      <c r="G243" t="inlineStr">
        <is>
          <t>KALIX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47761-2025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46221</v>
      </c>
      <c r="F244" t="inlineStr">
        <is>
          <t>NORRBOTTENS LÄN</t>
        </is>
      </c>
      <c r="G244" t="inlineStr">
        <is>
          <t>KALIX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25019-2024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45461</v>
      </c>
      <c r="E245" s="1" t="n">
        <v>46221</v>
      </c>
      <c r="F245" t="inlineStr">
        <is>
          <t>NORRBOTTENS LÄN</t>
        </is>
      </c>
      <c r="G245" t="inlineStr">
        <is>
          <t>KALIX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51498-2025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46221</v>
      </c>
      <c r="F246" t="inlineStr">
        <is>
          <t>NORRBOTTENS LÄN</t>
        </is>
      </c>
      <c r="G246" t="inlineStr">
        <is>
          <t>KALIX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51496-2025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46221</v>
      </c>
      <c r="F247" t="inlineStr">
        <is>
          <t>NORRBOTTENS LÄN</t>
        </is>
      </c>
      <c r="G247" t="inlineStr">
        <is>
          <t>KALIX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51497-2025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46221</v>
      </c>
      <c r="F248" t="inlineStr">
        <is>
          <t>NORRBOTTENS LÄN</t>
        </is>
      </c>
      <c r="G248" t="inlineStr">
        <is>
          <t>KALIX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51477-2025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46221</v>
      </c>
      <c r="F249" t="inlineStr">
        <is>
          <t>NORRBOTTENS LÄN</t>
        </is>
      </c>
      <c r="G249" t="inlineStr">
        <is>
          <t>KALIX</t>
        </is>
      </c>
      <c r="H249" t="inlineStr">
        <is>
          <t>SCA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51479-2025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46221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57332-2024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46221</v>
      </c>
      <c r="F251" t="inlineStr">
        <is>
          <t>NORRBOTTENS LÄN</t>
        </is>
      </c>
      <c r="G251" t="inlineStr">
        <is>
          <t>KALIX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51485-2025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46221</v>
      </c>
      <c r="F252" t="inlineStr">
        <is>
          <t>NORRBOTTENS LÄN</t>
        </is>
      </c>
      <c r="G252" t="inlineStr">
        <is>
          <t>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47853-2023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46221</v>
      </c>
      <c r="F253" t="inlineStr">
        <is>
          <t>NORRBOTTENS LÄN</t>
        </is>
      </c>
      <c r="G253" t="inlineStr">
        <is>
          <t>KALIX</t>
        </is>
      </c>
      <c r="I253" t="n">
        <v>8.9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52058-2025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46221</v>
      </c>
      <c r="F254" t="inlineStr">
        <is>
          <t>NORRBOTTENS LÄN</t>
        </is>
      </c>
      <c r="G254" t="inlineStr">
        <is>
          <t>KALIX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9974-2025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46221</v>
      </c>
      <c r="F255" t="inlineStr">
        <is>
          <t>NORRBOTTENS LÄN</t>
        </is>
      </c>
      <c r="G255" t="inlineStr">
        <is>
          <t>KALIX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51787-2025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46221</v>
      </c>
      <c r="F256" t="inlineStr">
        <is>
          <t>NORRBOTTENS LÄN</t>
        </is>
      </c>
      <c r="G256" t="inlineStr">
        <is>
          <t>KALIX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52008-2025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46221</v>
      </c>
      <c r="F257" t="inlineStr">
        <is>
          <t>NORRBOTTENS LÄN</t>
        </is>
      </c>
      <c r="G257" t="inlineStr">
        <is>
          <t>KALIX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10959-2025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45723</v>
      </c>
      <c r="E258" s="1" t="n">
        <v>46221</v>
      </c>
      <c r="F258" t="inlineStr">
        <is>
          <t>NORRBOTTENS LÄN</t>
        </is>
      </c>
      <c r="G258" t="inlineStr">
        <is>
          <t>KALIX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35840-2023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45147</v>
      </c>
      <c r="E259" s="1" t="n">
        <v>46221</v>
      </c>
      <c r="F259" t="inlineStr">
        <is>
          <t>NORRBOTTENS LÄN</t>
        </is>
      </c>
      <c r="G259" t="inlineStr">
        <is>
          <t>KALIX</t>
        </is>
      </c>
      <c r="I259" t="n">
        <v>12.1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22180-2022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44712</v>
      </c>
      <c r="E260" s="1" t="n">
        <v>46221</v>
      </c>
      <c r="F260" t="inlineStr">
        <is>
          <t>NORRBOTTENS LÄN</t>
        </is>
      </c>
      <c r="G260" t="inlineStr">
        <is>
          <t>KALIX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8740-2026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46221</v>
      </c>
      <c r="F261" t="inlineStr">
        <is>
          <t>NORRBOTTENS LÄN</t>
        </is>
      </c>
      <c r="G261" t="inlineStr">
        <is>
          <t>KALIX</t>
        </is>
      </c>
      <c r="H261" t="inlineStr">
        <is>
          <t>SCA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9344-2023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44980</v>
      </c>
      <c r="E262" s="1" t="n">
        <v>46221</v>
      </c>
      <c r="F262" t="inlineStr">
        <is>
          <t>NORRBOTTENS LÄN</t>
        </is>
      </c>
      <c r="G262" t="inlineStr">
        <is>
          <t>KALIX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54202-2025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46221</v>
      </c>
      <c r="F263" t="inlineStr">
        <is>
          <t>NORRBOTTENS LÄN</t>
        </is>
      </c>
      <c r="G263" t="inlineStr">
        <is>
          <t>KALIX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54377-2025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46221</v>
      </c>
      <c r="F264" t="inlineStr">
        <is>
          <t>NORRBOTTENS LÄN</t>
        </is>
      </c>
      <c r="G264" t="inlineStr">
        <is>
          <t>KALIX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54419-2025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46221</v>
      </c>
      <c r="F265" t="inlineStr">
        <is>
          <t>NORRBOTTENS LÄN</t>
        </is>
      </c>
      <c r="G265" t="inlineStr">
        <is>
          <t>KALIX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9968-2026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46221</v>
      </c>
      <c r="F266" t="inlineStr">
        <is>
          <t>NORRBOTTENS LÄN</t>
        </is>
      </c>
      <c r="G266" t="inlineStr">
        <is>
          <t>KALIX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55162-2025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45968</v>
      </c>
      <c r="E267" s="1" t="n">
        <v>46221</v>
      </c>
      <c r="F267" t="inlineStr">
        <is>
          <t>NORRBOTTENS LÄN</t>
        </is>
      </c>
      <c r="G267" t="inlineStr">
        <is>
          <t>KALIX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10547-2026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46077</v>
      </c>
      <c r="E268" s="1" t="n">
        <v>46221</v>
      </c>
      <c r="F268" t="inlineStr">
        <is>
          <t>NORRBOTTENS LÄN</t>
        </is>
      </c>
      <c r="G268" t="inlineStr">
        <is>
          <t>KALIX</t>
        </is>
      </c>
      <c r="I268" t="n">
        <v>16.5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54902-2025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46221</v>
      </c>
      <c r="F269" t="inlineStr">
        <is>
          <t>NORRBOTTENS LÄN</t>
        </is>
      </c>
      <c r="G269" t="inlineStr">
        <is>
          <t>KALIX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55391-2025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46221</v>
      </c>
      <c r="F270" t="inlineStr">
        <is>
          <t>NORRBOTTENS LÄN</t>
        </is>
      </c>
      <c r="G270" t="inlineStr">
        <is>
          <t>KALIX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21589-2023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46221</v>
      </c>
      <c r="F271" t="inlineStr">
        <is>
          <t>NORRBOTTENS LÄN</t>
        </is>
      </c>
      <c r="G271" t="inlineStr">
        <is>
          <t>KALIX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55396-2025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46221</v>
      </c>
      <c r="F272" t="inlineStr">
        <is>
          <t>NORRBOTTENS LÄN</t>
        </is>
      </c>
      <c r="G272" t="inlineStr">
        <is>
          <t>KALIX</t>
        </is>
      </c>
      <c r="I272" t="n">
        <v>13.9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55415-2025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46221</v>
      </c>
      <c r="F273" t="inlineStr">
        <is>
          <t>NORRBOTTENS LÄN</t>
        </is>
      </c>
      <c r="G273" t="inlineStr">
        <is>
          <t>KALIX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46196-2023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46221</v>
      </c>
      <c r="F274" t="inlineStr">
        <is>
          <t>NORRBOTTENS LÄN</t>
        </is>
      </c>
      <c r="G274" t="inlineStr">
        <is>
          <t>KALIX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55414-2025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46221</v>
      </c>
      <c r="F275" t="inlineStr">
        <is>
          <t>NORRBOTTENS LÄN</t>
        </is>
      </c>
      <c r="G275" t="inlineStr">
        <is>
          <t>KALIX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47099-2023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45201</v>
      </c>
      <c r="E276" s="1" t="n">
        <v>46221</v>
      </c>
      <c r="F276" t="inlineStr">
        <is>
          <t>NORRBOTTENS LÄN</t>
        </is>
      </c>
      <c r="G276" t="inlineStr">
        <is>
          <t>KALIX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19146-2023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45044</v>
      </c>
      <c r="E277" s="1" t="n">
        <v>46221</v>
      </c>
      <c r="F277" t="inlineStr">
        <is>
          <t>NORRBOTTENS LÄN</t>
        </is>
      </c>
      <c r="G277" t="inlineStr">
        <is>
          <t>KALIX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45685</v>
      </c>
      <c r="E278" s="1" t="n">
        <v>46221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11401-2026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46221</v>
      </c>
      <c r="F279" t="inlineStr">
        <is>
          <t>NORRBOTTENS LÄN</t>
        </is>
      </c>
      <c r="G279" t="inlineStr">
        <is>
          <t>KALIX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27776-2025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46221</v>
      </c>
      <c r="F280" t="inlineStr">
        <is>
          <t>NORRBOTTENS LÄN</t>
        </is>
      </c>
      <c r="G280" t="inlineStr">
        <is>
          <t>KALIX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57631-2023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46221</v>
      </c>
      <c r="F281" t="inlineStr">
        <is>
          <t>NORRBOTTENS LÄN</t>
        </is>
      </c>
      <c r="G281" t="inlineStr">
        <is>
          <t>KALIX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57676-2025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46221</v>
      </c>
      <c r="F282" t="inlineStr">
        <is>
          <t>NORRBOTTENS LÄN</t>
        </is>
      </c>
      <c r="G282" t="inlineStr">
        <is>
          <t>KALIX</t>
        </is>
      </c>
      <c r="I282" t="n">
        <v>23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57293-2025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46221</v>
      </c>
      <c r="F283" t="inlineStr">
        <is>
          <t>NORRBOTTENS LÄN</t>
        </is>
      </c>
      <c r="G283" t="inlineStr">
        <is>
          <t>KALIX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57675-2025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46221</v>
      </c>
      <c r="F284" t="inlineStr">
        <is>
          <t>NORRBOTTENS LÄN</t>
        </is>
      </c>
      <c r="G284" t="inlineStr">
        <is>
          <t>KALIX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57600-2025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46221</v>
      </c>
      <c r="F285" t="inlineStr">
        <is>
          <t>NORRBOTTENS LÄN</t>
        </is>
      </c>
      <c r="G285" t="inlineStr">
        <is>
          <t>KALIX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11938-2026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46221</v>
      </c>
      <c r="F286" t="inlineStr">
        <is>
          <t>NORRBOTTENS LÄN</t>
        </is>
      </c>
      <c r="G286" t="inlineStr">
        <is>
          <t>KALIX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57656-2025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46221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12394-2026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46221</v>
      </c>
      <c r="F288" t="inlineStr">
        <is>
          <t>NORRBOTTENS LÄN</t>
        </is>
      </c>
      <c r="G288" t="inlineStr">
        <is>
          <t>KALIX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58392-2021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44488</v>
      </c>
      <c r="E289" s="1" t="n">
        <v>46221</v>
      </c>
      <c r="F289" t="inlineStr">
        <is>
          <t>NORRBOTTENS LÄN</t>
        </is>
      </c>
      <c r="G289" t="inlineStr">
        <is>
          <t>KALIX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58208-2025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46221</v>
      </c>
      <c r="F290" t="inlineStr">
        <is>
          <t>NORRBOTTENS LÄN</t>
        </is>
      </c>
      <c r="G290" t="inlineStr">
        <is>
          <t>KALIX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58232-2025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46221</v>
      </c>
      <c r="F291" t="inlineStr">
        <is>
          <t>NORRBOTTENS LÄN</t>
        </is>
      </c>
      <c r="G291" t="inlineStr">
        <is>
          <t>KALIX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59261-2025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46221</v>
      </c>
      <c r="F292" t="inlineStr">
        <is>
          <t>NORRBOTTENS LÄN</t>
        </is>
      </c>
      <c r="G292" t="inlineStr">
        <is>
          <t>KALIX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12485-2026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46221</v>
      </c>
      <c r="F293" t="inlineStr">
        <is>
          <t>NORRBOTTENS LÄN</t>
        </is>
      </c>
      <c r="G293" t="inlineStr">
        <is>
          <t>KALIX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20083-2023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45054</v>
      </c>
      <c r="E294" s="1" t="n">
        <v>46221</v>
      </c>
      <c r="F294" t="inlineStr">
        <is>
          <t>NORRBOTTENS LÄN</t>
        </is>
      </c>
      <c r="G294" t="inlineStr">
        <is>
          <t>KALIX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20084-2023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46221</v>
      </c>
      <c r="F295" t="inlineStr">
        <is>
          <t>NORRBOTTENS LÄN</t>
        </is>
      </c>
      <c r="G295" t="inlineStr">
        <is>
          <t>KALIX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12606-2026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46091</v>
      </c>
      <c r="E296" s="1" t="n">
        <v>46221</v>
      </c>
      <c r="F296" t="inlineStr">
        <is>
          <t>NORRBOTTENS LÄN</t>
        </is>
      </c>
      <c r="G296" t="inlineStr">
        <is>
          <t>KALIX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59262-2025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46221</v>
      </c>
      <c r="F297" t="inlineStr">
        <is>
          <t>NORRBOTTENS LÄN</t>
        </is>
      </c>
      <c r="G297" t="inlineStr">
        <is>
          <t>KALIX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62157-2023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46221</v>
      </c>
      <c r="F298" t="inlineStr">
        <is>
          <t>NORRBOTTENS LÄN</t>
        </is>
      </c>
      <c r="G298" t="inlineStr">
        <is>
          <t>KALIX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62161-2023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46221</v>
      </c>
      <c r="F299" t="inlineStr">
        <is>
          <t>NORRBOTTENS LÄN</t>
        </is>
      </c>
      <c r="G299" t="inlineStr">
        <is>
          <t>KALIX</t>
        </is>
      </c>
      <c r="I299" t="n">
        <v>17.7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25871-2022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44733</v>
      </c>
      <c r="E300" s="1" t="n">
        <v>46221</v>
      </c>
      <c r="F300" t="inlineStr">
        <is>
          <t>NORRBOTTENS LÄN</t>
        </is>
      </c>
      <c r="G300" t="inlineStr">
        <is>
          <t>KALIX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49216-2023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46221</v>
      </c>
      <c r="F301" t="inlineStr">
        <is>
          <t>NORRBOTTENS LÄN</t>
        </is>
      </c>
      <c r="G301" t="inlineStr">
        <is>
          <t>KALIX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10049-2025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46221</v>
      </c>
      <c r="F302" t="inlineStr">
        <is>
          <t>NORRBOTTENS LÄN</t>
        </is>
      </c>
      <c r="G302" t="inlineStr">
        <is>
          <t>KALIX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12601-2026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46091</v>
      </c>
      <c r="E303" s="1" t="n">
        <v>46221</v>
      </c>
      <c r="F303" t="inlineStr">
        <is>
          <t>NORRBOTTENS LÄN</t>
        </is>
      </c>
      <c r="G303" t="inlineStr">
        <is>
          <t>KALIX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12626-2026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46091</v>
      </c>
      <c r="E304" s="1" t="n">
        <v>46221</v>
      </c>
      <c r="F304" t="inlineStr">
        <is>
          <t>NORRBOTTENS LÄN</t>
        </is>
      </c>
      <c r="G304" t="inlineStr">
        <is>
          <t>KALIX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60300-2025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46221</v>
      </c>
      <c r="F305" t="inlineStr">
        <is>
          <t>NORRBOTTENS LÄN</t>
        </is>
      </c>
      <c r="G305" t="inlineStr">
        <is>
          <t>KALIX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12851-2026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46221</v>
      </c>
      <c r="F306" t="inlineStr">
        <is>
          <t>NORRBOTTENS LÄN</t>
        </is>
      </c>
      <c r="G306" t="inlineStr">
        <is>
          <t>KALIX</t>
        </is>
      </c>
      <c r="I306" t="n">
        <v>13.6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59975-2025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46221</v>
      </c>
      <c r="F307" t="inlineStr">
        <is>
          <t>NORRBOTTENS LÄN</t>
        </is>
      </c>
      <c r="G307" t="inlineStr">
        <is>
          <t>KALIX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60234-2025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46221</v>
      </c>
      <c r="F308" t="inlineStr">
        <is>
          <t>NORRBOTTENS LÄN</t>
        </is>
      </c>
      <c r="G308" t="inlineStr">
        <is>
          <t>KALIX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46187-2021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44442</v>
      </c>
      <c r="E309" s="1" t="n">
        <v>46221</v>
      </c>
      <c r="F309" t="inlineStr">
        <is>
          <t>NORRBOTTENS LÄN</t>
        </is>
      </c>
      <c r="G309" t="inlineStr">
        <is>
          <t>KALIX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58511-2023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46221</v>
      </c>
      <c r="F310" t="inlineStr">
        <is>
          <t>NORRBOTTENS LÄN</t>
        </is>
      </c>
      <c r="G310" t="inlineStr">
        <is>
          <t>KALIX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13151-2026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46221</v>
      </c>
      <c r="F311" t="inlineStr">
        <is>
          <t>NORRBOTTENS LÄN</t>
        </is>
      </c>
      <c r="G311" t="inlineStr">
        <is>
          <t>KALIX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37582-2024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45541</v>
      </c>
      <c r="E312" s="1" t="n">
        <v>46221</v>
      </c>
      <c r="F312" t="inlineStr">
        <is>
          <t>NORRBOTTENS LÄN</t>
        </is>
      </c>
      <c r="G312" t="inlineStr">
        <is>
          <t>KALIX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59980-2025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46221</v>
      </c>
      <c r="F313" t="inlineStr">
        <is>
          <t>NORRBOTTENS LÄN</t>
        </is>
      </c>
      <c r="G313" t="inlineStr">
        <is>
          <t>KALIX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13320-2026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46221</v>
      </c>
      <c r="F314" t="inlineStr">
        <is>
          <t>NORRBOTTENS LÄN</t>
        </is>
      </c>
      <c r="G314" t="inlineStr">
        <is>
          <t>KALIX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13619-2026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46097</v>
      </c>
      <c r="E315" s="1" t="n">
        <v>46221</v>
      </c>
      <c r="F315" t="inlineStr">
        <is>
          <t>NORRBOTTENS LÄN</t>
        </is>
      </c>
      <c r="G315" t="inlineStr">
        <is>
          <t>KALIX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60478-2025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46221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60814-2025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46221</v>
      </c>
      <c r="F317" t="inlineStr">
        <is>
          <t>NORRBOTTENS LÄN</t>
        </is>
      </c>
      <c r="G317" t="inlineStr">
        <is>
          <t>KALIX</t>
        </is>
      </c>
      <c r="I317" t="n">
        <v>13.5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61394-2025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46221</v>
      </c>
      <c r="F318" t="inlineStr">
        <is>
          <t>NORRBOTTENS LÄN</t>
        </is>
      </c>
      <c r="G318" t="inlineStr">
        <is>
          <t>KALIX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13819-2025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46221</v>
      </c>
      <c r="F319" t="inlineStr">
        <is>
          <t>NORRBOTTENS LÄN</t>
        </is>
      </c>
      <c r="G319" t="inlineStr">
        <is>
          <t>KALIX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13834-2026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46221</v>
      </c>
      <c r="F320" t="inlineStr">
        <is>
          <t>NORRBOTTENS LÄN</t>
        </is>
      </c>
      <c r="G320" t="inlineStr">
        <is>
          <t>KALIX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13838-2026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46221</v>
      </c>
      <c r="F321" t="inlineStr">
        <is>
          <t>NORRBOTTENS LÄN</t>
        </is>
      </c>
      <c r="G321" t="inlineStr">
        <is>
          <t>KALIX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61904-2025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46221</v>
      </c>
      <c r="F322" t="inlineStr">
        <is>
          <t>NORRBOTTENS LÄN</t>
        </is>
      </c>
      <c r="G322" t="inlineStr">
        <is>
          <t>KALIX</t>
        </is>
      </c>
      <c r="I322" t="n">
        <v>13.8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61907-2025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46221</v>
      </c>
      <c r="F323" t="inlineStr">
        <is>
          <t>NORRBOTTENS LÄN</t>
        </is>
      </c>
      <c r="G323" t="inlineStr">
        <is>
          <t>KALIX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61905-2025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46221</v>
      </c>
      <c r="F324" t="inlineStr">
        <is>
          <t>NORRBOTTENS LÄN</t>
        </is>
      </c>
      <c r="G324" t="inlineStr">
        <is>
          <t>KALIX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21574-2023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45063</v>
      </c>
      <c r="E325" s="1" t="n">
        <v>46221</v>
      </c>
      <c r="F325" t="inlineStr">
        <is>
          <t>NORRBOTTENS LÄN</t>
        </is>
      </c>
      <c r="G325" t="inlineStr">
        <is>
          <t>KALIX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61870-2025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46221</v>
      </c>
      <c r="F326" t="inlineStr">
        <is>
          <t>NORRBOTTENS LÄN</t>
        </is>
      </c>
      <c r="G326" t="inlineStr">
        <is>
          <t>KALIX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61868-2025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46221</v>
      </c>
      <c r="F327" t="inlineStr">
        <is>
          <t>NORRBOTTENS LÄN</t>
        </is>
      </c>
      <c r="G327" t="inlineStr">
        <is>
          <t>KALIX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61860-2025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46221</v>
      </c>
      <c r="F328" t="inlineStr">
        <is>
          <t>NORRBOTTENS LÄN</t>
        </is>
      </c>
      <c r="G328" t="inlineStr">
        <is>
          <t>KALIX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61906-2025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46221</v>
      </c>
      <c r="F329" t="inlineStr">
        <is>
          <t>NORRBOTTENS LÄN</t>
        </is>
      </c>
      <c r="G329" t="inlineStr">
        <is>
          <t>KALIX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20350-2023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45054</v>
      </c>
      <c r="E330" s="1" t="n">
        <v>46221</v>
      </c>
      <c r="F330" t="inlineStr">
        <is>
          <t>NORRBOTTENS LÄN</t>
        </is>
      </c>
      <c r="G330" t="inlineStr">
        <is>
          <t>KALIX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62979-2025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46221</v>
      </c>
      <c r="F331" t="inlineStr">
        <is>
          <t>NORRBOTTENS LÄN</t>
        </is>
      </c>
      <c r="G331" t="inlineStr">
        <is>
          <t>KALIX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62986-2025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46009</v>
      </c>
      <c r="E332" s="1" t="n">
        <v>46221</v>
      </c>
      <c r="F332" t="inlineStr">
        <is>
          <t>NORRBOTTENS LÄN</t>
        </is>
      </c>
      <c r="G332" t="inlineStr">
        <is>
          <t>KALIX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45295</v>
      </c>
      <c r="E333" s="1" t="n">
        <v>46221</v>
      </c>
      <c r="F333" t="inlineStr">
        <is>
          <t>NORRBOTTENS LÄN</t>
        </is>
      </c>
      <c r="G333" t="inlineStr">
        <is>
          <t>KALIX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63102-2025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46221</v>
      </c>
      <c r="F334" t="inlineStr">
        <is>
          <t>NORRBOTTENS LÄN</t>
        </is>
      </c>
      <c r="G334" t="inlineStr">
        <is>
          <t>KALIX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63364-2025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46221</v>
      </c>
      <c r="F335" t="inlineStr">
        <is>
          <t>NORRBOTTENS LÄN</t>
        </is>
      </c>
      <c r="G335" t="inlineStr">
        <is>
          <t>KALIX</t>
        </is>
      </c>
      <c r="H335" t="inlineStr">
        <is>
          <t>Kommuner</t>
        </is>
      </c>
      <c r="I335" t="n">
        <v>11.2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63104-2025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46221</v>
      </c>
      <c r="F336" t="inlineStr">
        <is>
          <t>NORRBOTTENS LÄN</t>
        </is>
      </c>
      <c r="G336" t="inlineStr">
        <is>
          <t>KALIX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62314-2025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46221</v>
      </c>
      <c r="F337" t="inlineStr">
        <is>
          <t>NORRBOTTENS LÄN</t>
        </is>
      </c>
      <c r="G337" t="inlineStr">
        <is>
          <t>KALIX</t>
        </is>
      </c>
      <c r="H337" t="inlineStr">
        <is>
          <t>Kommuner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16221-2024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45406</v>
      </c>
      <c r="E338" s="1" t="n">
        <v>46221</v>
      </c>
      <c r="F338" t="inlineStr">
        <is>
          <t>NORRBOTTENS LÄN</t>
        </is>
      </c>
      <c r="G338" t="inlineStr">
        <is>
          <t>KALIX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46013</v>
      </c>
      <c r="E339" s="1" t="n">
        <v>46221</v>
      </c>
      <c r="F339" t="inlineStr">
        <is>
          <t>NORRBOTTENS LÄN</t>
        </is>
      </c>
      <c r="G339" t="inlineStr">
        <is>
          <t>KALIX</t>
        </is>
      </c>
      <c r="H339" t="inlineStr">
        <is>
          <t>Kommuner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63450-2025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46221</v>
      </c>
      <c r="F340" t="inlineStr">
        <is>
          <t>NORRBOTTENS LÄN</t>
        </is>
      </c>
      <c r="G340" t="inlineStr">
        <is>
          <t>KALIX</t>
        </is>
      </c>
      <c r="H340" t="inlineStr">
        <is>
          <t>SCA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44749-2025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45917</v>
      </c>
      <c r="E341" s="1" t="n">
        <v>46221</v>
      </c>
      <c r="F341" t="inlineStr">
        <is>
          <t>NORRBOTTENS LÄN</t>
        </is>
      </c>
      <c r="G341" t="inlineStr">
        <is>
          <t>KALIX</t>
        </is>
      </c>
      <c r="H341" t="inlineStr">
        <is>
          <t>SCA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54829-2023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45229</v>
      </c>
      <c r="E342" s="1" t="n">
        <v>46221</v>
      </c>
      <c r="F342" t="inlineStr">
        <is>
          <t>NORRBOTTENS LÄN</t>
        </is>
      </c>
      <c r="G342" t="inlineStr">
        <is>
          <t>KALIX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46221</v>
      </c>
      <c r="F343" t="inlineStr">
        <is>
          <t>NORRBOTTENS LÄN</t>
        </is>
      </c>
      <c r="G343" t="inlineStr">
        <is>
          <t>KALIX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15002-2026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46221</v>
      </c>
      <c r="F344" t="inlineStr">
        <is>
          <t>NORRBOTTENS LÄN</t>
        </is>
      </c>
      <c r="G344" t="inlineStr">
        <is>
          <t>KALIX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58296-2022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44901</v>
      </c>
      <c r="E345" s="1" t="n">
        <v>46221</v>
      </c>
      <c r="F345" t="inlineStr">
        <is>
          <t>NORRBOTTENS LÄN</t>
        </is>
      </c>
      <c r="G345" t="inlineStr">
        <is>
          <t>KALIX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64031-2025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46021</v>
      </c>
      <c r="E346" s="1" t="n">
        <v>46221</v>
      </c>
      <c r="F346" t="inlineStr">
        <is>
          <t>NORRBOTTENS LÄN</t>
        </is>
      </c>
      <c r="G346" t="inlineStr">
        <is>
          <t>KALIX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64027-2025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46021</v>
      </c>
      <c r="E347" s="1" t="n">
        <v>46221</v>
      </c>
      <c r="F347" t="inlineStr">
        <is>
          <t>NORRBOTTENS LÄN</t>
        </is>
      </c>
      <c r="G347" t="inlineStr">
        <is>
          <t>KALIX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54296-2024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45617</v>
      </c>
      <c r="E348" s="1" t="n">
        <v>46221</v>
      </c>
      <c r="F348" t="inlineStr">
        <is>
          <t>NORRBOTTENS LÄN</t>
        </is>
      </c>
      <c r="G348" t="inlineStr">
        <is>
          <t>KALIX</t>
        </is>
      </c>
      <c r="H348" t="inlineStr">
        <is>
          <t>Sveaskog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1033-2026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46221</v>
      </c>
      <c r="F349" t="inlineStr">
        <is>
          <t>NORRBOTTENS LÄN</t>
        </is>
      </c>
      <c r="G349" t="inlineStr">
        <is>
          <t>KALIX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46030</v>
      </c>
      <c r="E350" s="1" t="n">
        <v>46221</v>
      </c>
      <c r="F350" t="inlineStr">
        <is>
          <t>NORRBOTTENS LÄN</t>
        </is>
      </c>
      <c r="G350" t="inlineStr">
        <is>
          <t>KALIX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46221</v>
      </c>
      <c r="F351" t="inlineStr">
        <is>
          <t>NORRBOTTENS LÄN</t>
        </is>
      </c>
      <c r="G351" t="inlineStr">
        <is>
          <t>KALIX</t>
        </is>
      </c>
      <c r="I351" t="n">
        <v>11.9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1003-2026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46221</v>
      </c>
      <c r="F352" t="inlineStr">
        <is>
          <t>NORRBOTTENS LÄN</t>
        </is>
      </c>
      <c r="G352" t="inlineStr">
        <is>
          <t>KALIX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15584-2026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46221</v>
      </c>
      <c r="F353" t="inlineStr">
        <is>
          <t>NORRBOTTENS LÄN</t>
        </is>
      </c>
      <c r="G353" t="inlineStr">
        <is>
          <t>KALIX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46221</v>
      </c>
      <c r="F354" t="inlineStr">
        <is>
          <t>NORRBOTTENS LÄN</t>
        </is>
      </c>
      <c r="G354" t="inlineStr">
        <is>
          <t>KALIX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46221</v>
      </c>
      <c r="F355" t="inlineStr">
        <is>
          <t>NORRBOTTENS LÄN</t>
        </is>
      </c>
      <c r="G355" t="inlineStr">
        <is>
          <t>KALIX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11112-2023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44992</v>
      </c>
      <c r="E356" s="1" t="n">
        <v>46221</v>
      </c>
      <c r="F356" t="inlineStr">
        <is>
          <t>NORRBOTTENS LÄN</t>
        </is>
      </c>
      <c r="G356" t="inlineStr">
        <is>
          <t>KALIX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62139-2023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45266</v>
      </c>
      <c r="E357" s="1" t="n">
        <v>46221</v>
      </c>
      <c r="F357" t="inlineStr">
        <is>
          <t>NORRBOTTENS LÄN</t>
        </is>
      </c>
      <c r="G357" t="inlineStr">
        <is>
          <t>KALIX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62150-2023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46221</v>
      </c>
      <c r="F358" t="inlineStr">
        <is>
          <t>NORRBOTTENS LÄN</t>
        </is>
      </c>
      <c r="G358" t="inlineStr">
        <is>
          <t>KALIX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46221</v>
      </c>
      <c r="F359" t="inlineStr">
        <is>
          <t>NORRBOTTENS LÄN</t>
        </is>
      </c>
      <c r="G359" t="inlineStr">
        <is>
          <t>KALIX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46031</v>
      </c>
      <c r="E360" s="1" t="n">
        <v>46221</v>
      </c>
      <c r="F360" t="inlineStr">
        <is>
          <t>NORRBOTTENS LÄN</t>
        </is>
      </c>
      <c r="G360" t="inlineStr">
        <is>
          <t>KALIX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1298-2026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46031</v>
      </c>
      <c r="E361" s="1" t="n">
        <v>46221</v>
      </c>
      <c r="F361" t="inlineStr">
        <is>
          <t>NORRBOTTENS LÄN</t>
        </is>
      </c>
      <c r="G361" t="inlineStr">
        <is>
          <t>KALIX</t>
        </is>
      </c>
      <c r="I361" t="n">
        <v>9.699999999999999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57939-2023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45247</v>
      </c>
      <c r="E362" s="1" t="n">
        <v>46221</v>
      </c>
      <c r="F362" t="inlineStr">
        <is>
          <t>NORRBOTTENS LÄN</t>
        </is>
      </c>
      <c r="G362" t="inlineStr">
        <is>
          <t>KALIX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15594-2026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46221</v>
      </c>
      <c r="F363" t="inlineStr">
        <is>
          <t>NORRBOTTENS LÄN</t>
        </is>
      </c>
      <c r="G363" t="inlineStr">
        <is>
          <t>KALIX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15618-2026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46221</v>
      </c>
      <c r="F364" t="inlineStr">
        <is>
          <t>NORRBOTTENS LÄN</t>
        </is>
      </c>
      <c r="G364" t="inlineStr">
        <is>
          <t>KALIX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46765-2023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46221</v>
      </c>
      <c r="F365" t="inlineStr">
        <is>
          <t>NORRBOTTENS LÄN</t>
        </is>
      </c>
      <c r="G365" t="inlineStr">
        <is>
          <t>KALIX</t>
        </is>
      </c>
      <c r="H365" t="inlineStr">
        <is>
          <t>Sveaskog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2336-2026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46221</v>
      </c>
      <c r="F366" t="inlineStr">
        <is>
          <t>NORRBOTTENS LÄN</t>
        </is>
      </c>
      <c r="G366" t="inlineStr">
        <is>
          <t>KALIX</t>
        </is>
      </c>
      <c r="H366" t="inlineStr">
        <is>
          <t>Sveaskog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46221</v>
      </c>
      <c r="F367" t="inlineStr">
        <is>
          <t>NORRBOTTENS LÄN</t>
        </is>
      </c>
      <c r="G367" t="inlineStr">
        <is>
          <t>KALIX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46221</v>
      </c>
      <c r="F368" t="inlineStr">
        <is>
          <t>NORRBOTTENS LÄN</t>
        </is>
      </c>
      <c r="G368" t="inlineStr">
        <is>
          <t>KALIX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69886-2021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44532</v>
      </c>
      <c r="E369" s="1" t="n">
        <v>46221</v>
      </c>
      <c r="F369" t="inlineStr">
        <is>
          <t>NORRBOTTENS LÄN</t>
        </is>
      </c>
      <c r="G369" t="inlineStr">
        <is>
          <t>KALIX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46035</v>
      </c>
      <c r="E370" s="1" t="n">
        <v>46221</v>
      </c>
      <c r="F370" t="inlineStr">
        <is>
          <t>NORRBOTTENS LÄN</t>
        </is>
      </c>
      <c r="G370" t="inlineStr">
        <is>
          <t>KALIX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24135-2023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45079</v>
      </c>
      <c r="E371" s="1" t="n">
        <v>46221</v>
      </c>
      <c r="F371" t="inlineStr">
        <is>
          <t>NORRBOTTENS LÄN</t>
        </is>
      </c>
      <c r="G371" t="inlineStr">
        <is>
          <t>KALIX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44936</v>
      </c>
      <c r="E372" s="1" t="n">
        <v>46221</v>
      </c>
      <c r="F372" t="inlineStr">
        <is>
          <t>NORRBOTTENS LÄN</t>
        </is>
      </c>
      <c r="G372" t="inlineStr">
        <is>
          <t>KALIX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44411-2024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45573</v>
      </c>
      <c r="E373" s="1" t="n">
        <v>46221</v>
      </c>
      <c r="F373" t="inlineStr">
        <is>
          <t>NORRBOTTENS LÄN</t>
        </is>
      </c>
      <c r="G373" t="inlineStr">
        <is>
          <t>KALIX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17877-2026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46122</v>
      </c>
      <c r="E374" s="1" t="n">
        <v>46221</v>
      </c>
      <c r="F374" t="inlineStr">
        <is>
          <t>NORRBOTTENS LÄN</t>
        </is>
      </c>
      <c r="G374" t="inlineStr">
        <is>
          <t>KALIX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24265-2024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45457</v>
      </c>
      <c r="E375" s="1" t="n">
        <v>46221</v>
      </c>
      <c r="F375" t="inlineStr">
        <is>
          <t>NORRBOTTENS LÄN</t>
        </is>
      </c>
      <c r="G375" t="inlineStr">
        <is>
          <t>KALIX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45602</v>
      </c>
      <c r="E376" s="1" t="n">
        <v>46221</v>
      </c>
      <c r="F376" t="inlineStr">
        <is>
          <t>NORRBOTTENS LÄN</t>
        </is>
      </c>
      <c r="G376" t="inlineStr">
        <is>
          <t>KALIX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2629-2022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44580</v>
      </c>
      <c r="E377" s="1" t="n">
        <v>46221</v>
      </c>
      <c r="F377" t="inlineStr">
        <is>
          <t>NORRBOTTENS LÄN</t>
        </is>
      </c>
      <c r="G377" t="inlineStr">
        <is>
          <t>KALIX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18815-2026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46221</v>
      </c>
      <c r="F378" t="inlineStr">
        <is>
          <t>NORRBOTTENS LÄN</t>
        </is>
      </c>
      <c r="G378" t="inlineStr">
        <is>
          <t>KALIX</t>
        </is>
      </c>
      <c r="H378" t="inlineStr">
        <is>
          <t>SCA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67004-2021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44522</v>
      </c>
      <c r="E379" s="1" t="n">
        <v>46221</v>
      </c>
      <c r="F379" t="inlineStr">
        <is>
          <t>NORRBOTTENS LÄN</t>
        </is>
      </c>
      <c r="G379" t="inlineStr">
        <is>
          <t>KALIX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40565-2023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46221</v>
      </c>
      <c r="F380" t="inlineStr">
        <is>
          <t>NORRBOTTENS LÄN</t>
        </is>
      </c>
      <c r="G380" t="inlineStr">
        <is>
          <t>KALIX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19684-2026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46134</v>
      </c>
      <c r="E381" s="1" t="n">
        <v>46221</v>
      </c>
      <c r="F381" t="inlineStr">
        <is>
          <t>NORRBOTTENS LÄN</t>
        </is>
      </c>
      <c r="G381" t="inlineStr">
        <is>
          <t>KALIX</t>
        </is>
      </c>
      <c r="H381" t="inlineStr">
        <is>
          <t>SCA</t>
        </is>
      </c>
      <c r="I381" t="n">
        <v>17.5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19690-2026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46221</v>
      </c>
      <c r="F382" t="inlineStr">
        <is>
          <t>NORRBOTTENS LÄN</t>
        </is>
      </c>
      <c r="G382" t="inlineStr">
        <is>
          <t>KALIX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19291-2026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46221</v>
      </c>
      <c r="F383" t="inlineStr">
        <is>
          <t>NORRBOTTENS LÄN</t>
        </is>
      </c>
      <c r="G383" t="inlineStr">
        <is>
          <t>KALIX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16732-2025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45754</v>
      </c>
      <c r="E384" s="1" t="n">
        <v>46221</v>
      </c>
      <c r="F384" t="inlineStr">
        <is>
          <t>NORRBOTTENS LÄN</t>
        </is>
      </c>
      <c r="G384" t="inlineStr">
        <is>
          <t>KALIX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46955-2024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45585</v>
      </c>
      <c r="E385" s="1" t="n">
        <v>46221</v>
      </c>
      <c r="F385" t="inlineStr">
        <is>
          <t>NORRBOTTENS LÄN</t>
        </is>
      </c>
      <c r="G385" t="inlineStr">
        <is>
          <t>KALIX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51839-2023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45215</v>
      </c>
      <c r="E386" s="1" t="n">
        <v>46221</v>
      </c>
      <c r="F386" t="inlineStr">
        <is>
          <t>NORRBOTTENS LÄN</t>
        </is>
      </c>
      <c r="G386" t="inlineStr">
        <is>
          <t>KALIX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26675-2024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45470</v>
      </c>
      <c r="E387" s="1" t="n">
        <v>46221</v>
      </c>
      <c r="F387" t="inlineStr">
        <is>
          <t>NORRBOTTENS LÄN</t>
        </is>
      </c>
      <c r="G387" t="inlineStr">
        <is>
          <t>KALIX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57326-2024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45629</v>
      </c>
      <c r="E388" s="1" t="n">
        <v>46221</v>
      </c>
      <c r="F388" t="inlineStr">
        <is>
          <t>NORRBOTTENS LÄN</t>
        </is>
      </c>
      <c r="G388" t="inlineStr">
        <is>
          <t>KALIX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45218-2023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45191</v>
      </c>
      <c r="E389" s="1" t="n">
        <v>46221</v>
      </c>
      <c r="F389" t="inlineStr">
        <is>
          <t>NORRBOTTENS LÄN</t>
        </is>
      </c>
      <c r="G389" t="inlineStr">
        <is>
          <t>KALIX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19787-2026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46221</v>
      </c>
      <c r="F390" t="inlineStr">
        <is>
          <t>NORRBOTTENS LÄN</t>
        </is>
      </c>
      <c r="G390" t="inlineStr">
        <is>
          <t>KALIX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10060-2025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45719</v>
      </c>
      <c r="E391" s="1" t="n">
        <v>46221</v>
      </c>
      <c r="F391" t="inlineStr">
        <is>
          <t>NORRBOTTENS LÄN</t>
        </is>
      </c>
      <c r="G391" t="inlineStr">
        <is>
          <t>KALIX</t>
        </is>
      </c>
      <c r="I391" t="n">
        <v>11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10065-2025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46221</v>
      </c>
      <c r="F392" t="inlineStr">
        <is>
          <t>NORRBOTTENS LÄN</t>
        </is>
      </c>
      <c r="G392" t="inlineStr">
        <is>
          <t>KALIX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19782-2026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46221</v>
      </c>
      <c r="F393" t="inlineStr">
        <is>
          <t>NORRBOTTENS LÄN</t>
        </is>
      </c>
      <c r="G393" t="inlineStr">
        <is>
          <t>KALIX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7712-2025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45706</v>
      </c>
      <c r="E394" s="1" t="n">
        <v>46221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46221</v>
      </c>
      <c r="F395" t="inlineStr">
        <is>
          <t>NORRBOTTENS LÄN</t>
        </is>
      </c>
      <c r="G395" t="inlineStr">
        <is>
          <t>KALIX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13537-2022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44648</v>
      </c>
      <c r="E396" s="1" t="n">
        <v>46221</v>
      </c>
      <c r="F396" t="inlineStr">
        <is>
          <t>NORRBOTTENS LÄN</t>
        </is>
      </c>
      <c r="G396" t="inlineStr">
        <is>
          <t>KALIX</t>
        </is>
      </c>
      <c r="H396" t="inlineStr">
        <is>
          <t>BillerudKorsnäs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22480-2024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45446</v>
      </c>
      <c r="E397" s="1" t="n">
        <v>46221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39003-2023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45163</v>
      </c>
      <c r="E398" s="1" t="n">
        <v>46221</v>
      </c>
      <c r="F398" t="inlineStr">
        <is>
          <t>NORRBOTTENS LÄN</t>
        </is>
      </c>
      <c r="G398" t="inlineStr">
        <is>
          <t>KALIX</t>
        </is>
      </c>
      <c r="I398" t="n">
        <v>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11856-2023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44995</v>
      </c>
      <c r="E399" s="1" t="n">
        <v>46221</v>
      </c>
      <c r="F399" t="inlineStr">
        <is>
          <t>NORRBOTTENS LÄN</t>
        </is>
      </c>
      <c r="G399" t="inlineStr">
        <is>
          <t>KALIX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59018-2022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44903</v>
      </c>
      <c r="E400" s="1" t="n">
        <v>46221</v>
      </c>
      <c r="F400" t="inlineStr">
        <is>
          <t>NORRBOTTENS LÄN</t>
        </is>
      </c>
      <c r="G400" t="inlineStr">
        <is>
          <t>KALIX</t>
        </is>
      </c>
      <c r="I400" t="n">
        <v>17.8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1262-2025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45667</v>
      </c>
      <c r="E401" s="1" t="n">
        <v>46221</v>
      </c>
      <c r="F401" t="inlineStr">
        <is>
          <t>NORRBOTTENS LÄN</t>
        </is>
      </c>
      <c r="G401" t="inlineStr">
        <is>
          <t>KALIX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762-2025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46221</v>
      </c>
      <c r="F402" t="inlineStr">
        <is>
          <t>NORRBOTTENS LÄN</t>
        </is>
      </c>
      <c r="G402" t="inlineStr">
        <is>
          <t>KALIX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57338-2024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46221</v>
      </c>
      <c r="F403" t="inlineStr">
        <is>
          <t>NORRBOTTENS LÄN</t>
        </is>
      </c>
      <c r="G403" t="inlineStr">
        <is>
          <t>KALIX</t>
        </is>
      </c>
      <c r="I403" t="n">
        <v>8.4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60096-2025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46221</v>
      </c>
      <c r="F404" t="inlineStr">
        <is>
          <t>NORRBOTTENS LÄN</t>
        </is>
      </c>
      <c r="G404" t="inlineStr">
        <is>
          <t>KALIX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3169-2025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45679</v>
      </c>
      <c r="E405" s="1" t="n">
        <v>46221</v>
      </c>
      <c r="F405" t="inlineStr">
        <is>
          <t>NORRBOTTENS LÄN</t>
        </is>
      </c>
      <c r="G405" t="inlineStr">
        <is>
          <t>KALIX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61945-2025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46003</v>
      </c>
      <c r="E406" s="1" t="n">
        <v>46221</v>
      </c>
      <c r="F406" t="inlineStr">
        <is>
          <t>NORRBOTTENS LÄN</t>
        </is>
      </c>
      <c r="G406" t="inlineStr">
        <is>
          <t>KALIX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9193-2026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46070</v>
      </c>
      <c r="E407" s="1" t="n">
        <v>46221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8.800000000000001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30005-2022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44756</v>
      </c>
      <c r="E408" s="1" t="n">
        <v>46221</v>
      </c>
      <c r="F408" t="inlineStr">
        <is>
          <t>NORRBOTTENS LÄN</t>
        </is>
      </c>
      <c r="G408" t="inlineStr">
        <is>
          <t>KALIX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8299-2025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45708</v>
      </c>
      <c r="E409" s="1" t="n">
        <v>46221</v>
      </c>
      <c r="F409" t="inlineStr">
        <is>
          <t>NORRBOTTENS LÄN</t>
        </is>
      </c>
      <c r="G409" t="inlineStr">
        <is>
          <t>KALIX</t>
        </is>
      </c>
      <c r="I409" t="n">
        <v>16.2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14047-2024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46221</v>
      </c>
      <c r="F410" t="inlineStr">
        <is>
          <t>NORRBOTTENS LÄN</t>
        </is>
      </c>
      <c r="G410" t="inlineStr">
        <is>
          <t>KALIX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49759-2022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44862</v>
      </c>
      <c r="E411" s="1" t="n">
        <v>46221</v>
      </c>
      <c r="F411" t="inlineStr">
        <is>
          <t>NORRBOTTENS LÄN</t>
        </is>
      </c>
      <c r="G411" t="inlineStr">
        <is>
          <t>KALIX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37918-2025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45881</v>
      </c>
      <c r="E412" s="1" t="n">
        <v>46221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30814-2023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45112</v>
      </c>
      <c r="E413" s="1" t="n">
        <v>46221</v>
      </c>
      <c r="F413" t="inlineStr">
        <is>
          <t>NORRBOTTENS LÄN</t>
        </is>
      </c>
      <c r="G413" t="inlineStr">
        <is>
          <t>KALIX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37924-2025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45881</v>
      </c>
      <c r="E414" s="1" t="n">
        <v>46221</v>
      </c>
      <c r="F414" t="inlineStr">
        <is>
          <t>NORRBOTTENS LÄN</t>
        </is>
      </c>
      <c r="G414" t="inlineStr">
        <is>
          <t>KALIX</t>
        </is>
      </c>
      <c r="H414" t="inlineStr">
        <is>
          <t>SCA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61939-2025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46221</v>
      </c>
      <c r="F415" t="inlineStr">
        <is>
          <t>NORRBOTTENS LÄN</t>
        </is>
      </c>
      <c r="G415" t="inlineStr">
        <is>
          <t>KALIX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41662-2023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45175</v>
      </c>
      <c r="E416" s="1" t="n">
        <v>46221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17598-2024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45415</v>
      </c>
      <c r="E417" s="1" t="n">
        <v>46221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17599-2024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45415</v>
      </c>
      <c r="E418" s="1" t="n">
        <v>46221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28946-2022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44749</v>
      </c>
      <c r="E419" s="1" t="n">
        <v>46221</v>
      </c>
      <c r="F419" t="inlineStr">
        <is>
          <t>NORRBOTTENS LÄN</t>
        </is>
      </c>
      <c r="G419" t="inlineStr">
        <is>
          <t>KALIX</t>
        </is>
      </c>
      <c r="H419" t="inlineStr">
        <is>
          <t>Sveaskog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21000-2026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46221</v>
      </c>
      <c r="F420" t="inlineStr">
        <is>
          <t>NORRBOTTENS LÄN</t>
        </is>
      </c>
      <c r="G420" t="inlineStr">
        <is>
          <t>KALIX</t>
        </is>
      </c>
      <c r="H420" t="inlineStr">
        <is>
          <t>Sveaskog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60926-2023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45261</v>
      </c>
      <c r="E421" s="1" t="n">
        <v>46221</v>
      </c>
      <c r="F421" t="inlineStr">
        <is>
          <t>NORRBOTTENS LÄN</t>
        </is>
      </c>
      <c r="G421" t="inlineStr">
        <is>
          <t>KALIX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40515-2023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45170</v>
      </c>
      <c r="E422" s="1" t="n">
        <v>46221</v>
      </c>
      <c r="F422" t="inlineStr">
        <is>
          <t>NORRBOTTENS LÄN</t>
        </is>
      </c>
      <c r="G422" t="inlineStr">
        <is>
          <t>KALIX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15796-2025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45748</v>
      </c>
      <c r="E423" s="1" t="n">
        <v>46221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45314</v>
      </c>
      <c r="E424" s="1" t="n">
        <v>46221</v>
      </c>
      <c r="F424" t="inlineStr">
        <is>
          <t>NORRBOTTENS LÄN</t>
        </is>
      </c>
      <c r="G424" t="inlineStr">
        <is>
          <t>KALIX</t>
        </is>
      </c>
      <c r="I424" t="n">
        <v>8.6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21125-2026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46146</v>
      </c>
      <c r="E425" s="1" t="n">
        <v>46221</v>
      </c>
      <c r="F425" t="inlineStr">
        <is>
          <t>NORRBOTTENS LÄN</t>
        </is>
      </c>
      <c r="G425" t="inlineStr">
        <is>
          <t>KALIX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49889-2023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45213</v>
      </c>
      <c r="E426" s="1" t="n">
        <v>46221</v>
      </c>
      <c r="F426" t="inlineStr">
        <is>
          <t>NORRBOTTENS LÄN</t>
        </is>
      </c>
      <c r="G426" t="inlineStr">
        <is>
          <t>KALIX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59884-2024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45641</v>
      </c>
      <c r="E427" s="1" t="n">
        <v>46221</v>
      </c>
      <c r="F427" t="inlineStr">
        <is>
          <t>NORRBOTTENS LÄN</t>
        </is>
      </c>
      <c r="G427" t="inlineStr">
        <is>
          <t>KALIX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21169-2026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46146</v>
      </c>
      <c r="E428" s="1" t="n">
        <v>46221</v>
      </c>
      <c r="F428" t="inlineStr">
        <is>
          <t>NORRBOTTENS LÄN</t>
        </is>
      </c>
      <c r="G428" t="inlineStr">
        <is>
          <t>KALIX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23878-2022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44722</v>
      </c>
      <c r="E429" s="1" t="n">
        <v>46221</v>
      </c>
      <c r="F429" t="inlineStr">
        <is>
          <t>NORRBOTTENS LÄN</t>
        </is>
      </c>
      <c r="G429" t="inlineStr">
        <is>
          <t>KALIX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21638-2022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44706</v>
      </c>
      <c r="E430" s="1" t="n">
        <v>46221</v>
      </c>
      <c r="F430" t="inlineStr">
        <is>
          <t>NORRBOTTENS LÄN</t>
        </is>
      </c>
      <c r="G430" t="inlineStr">
        <is>
          <t>KALIX</t>
        </is>
      </c>
      <c r="H430" t="inlineStr">
        <is>
          <t>Sveaskog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8567-2024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45355</v>
      </c>
      <c r="E431" s="1" t="n">
        <v>46221</v>
      </c>
      <c r="F431" t="inlineStr">
        <is>
          <t>NORRBOTTENS LÄN</t>
        </is>
      </c>
      <c r="G431" t="inlineStr">
        <is>
          <t>KALIX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58765-2023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45251</v>
      </c>
      <c r="E432" s="1" t="n">
        <v>46221</v>
      </c>
      <c r="F432" t="inlineStr">
        <is>
          <t>NORRBOTTENS LÄN</t>
        </is>
      </c>
      <c r="G432" t="inlineStr">
        <is>
          <t>KALIX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19714-2025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45771</v>
      </c>
      <c r="E433" s="1" t="n">
        <v>46221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21554-2026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46148</v>
      </c>
      <c r="E434" s="1" t="n">
        <v>46221</v>
      </c>
      <c r="F434" t="inlineStr">
        <is>
          <t>NORRBOTTENS LÄN</t>
        </is>
      </c>
      <c r="G434" t="inlineStr">
        <is>
          <t>KALIX</t>
        </is>
      </c>
      <c r="H434" t="inlineStr">
        <is>
          <t>Sveaskog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27879-2026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46191</v>
      </c>
      <c r="E435" s="1" t="n">
        <v>46221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19155-2023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46221</v>
      </c>
      <c r="F436" t="inlineStr">
        <is>
          <t>NORRBOTTENS LÄN</t>
        </is>
      </c>
      <c r="G436" t="inlineStr">
        <is>
          <t>KALIX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11327-2026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46081</v>
      </c>
      <c r="E437" s="1" t="n">
        <v>46221</v>
      </c>
      <c r="F437" t="inlineStr">
        <is>
          <t>NORRBOTTENS LÄN</t>
        </is>
      </c>
      <c r="G437" t="inlineStr">
        <is>
          <t>KALIX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22341-2026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46154</v>
      </c>
      <c r="E438" s="1" t="n">
        <v>46221</v>
      </c>
      <c r="F438" t="inlineStr">
        <is>
          <t>NORRBOTTENS LÄN</t>
        </is>
      </c>
      <c r="G438" t="inlineStr">
        <is>
          <t>KALIX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58417-2025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46221</v>
      </c>
      <c r="F439" t="inlineStr">
        <is>
          <t>NORRBOTTENS LÄN</t>
        </is>
      </c>
      <c r="G439" t="inlineStr">
        <is>
          <t>KALIX</t>
        </is>
      </c>
      <c r="H439" t="inlineStr">
        <is>
          <t>Kommuner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21975-2026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46221</v>
      </c>
      <c r="F440" t="inlineStr">
        <is>
          <t>NORRBOTTENS LÄN</t>
        </is>
      </c>
      <c r="G440" t="inlineStr">
        <is>
          <t>KALIX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7184-2023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44970</v>
      </c>
      <c r="E441" s="1" t="n">
        <v>46221</v>
      </c>
      <c r="F441" t="inlineStr">
        <is>
          <t>NORRBOTTENS LÄN</t>
        </is>
      </c>
      <c r="G441" t="inlineStr">
        <is>
          <t>KALIX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7196-2023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44970</v>
      </c>
      <c r="E442" s="1" t="n">
        <v>46221</v>
      </c>
      <c r="F442" t="inlineStr">
        <is>
          <t>NORRBOTTENS LÄN</t>
        </is>
      </c>
      <c r="G442" t="inlineStr">
        <is>
          <t>KALIX</t>
        </is>
      </c>
      <c r="I442" t="n">
        <v>16.9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8277-2023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44974</v>
      </c>
      <c r="E443" s="1" t="n">
        <v>46221</v>
      </c>
      <c r="F443" t="inlineStr">
        <is>
          <t>NORRBOTTENS LÄN</t>
        </is>
      </c>
      <c r="G443" t="inlineStr">
        <is>
          <t>KALIX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28155-2026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46195</v>
      </c>
      <c r="E444" s="1" t="n">
        <v>46221</v>
      </c>
      <c r="F444" t="inlineStr">
        <is>
          <t>NORRBOTTENS LÄN</t>
        </is>
      </c>
      <c r="G444" t="inlineStr">
        <is>
          <t>KALIX</t>
        </is>
      </c>
      <c r="I444" t="n">
        <v>8.800000000000001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64939-2023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45282</v>
      </c>
      <c r="E445" s="1" t="n">
        <v>46221</v>
      </c>
      <c r="F445" t="inlineStr">
        <is>
          <t>NORRBOTTENS LÄN</t>
        </is>
      </c>
      <c r="G445" t="inlineStr">
        <is>
          <t>KALIX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31512-2024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45505</v>
      </c>
      <c r="E446" s="1" t="n">
        <v>46221</v>
      </c>
      <c r="F446" t="inlineStr">
        <is>
          <t>NORRBOTTENS LÄN</t>
        </is>
      </c>
      <c r="G446" t="inlineStr">
        <is>
          <t>KALIX</t>
        </is>
      </c>
      <c r="I446" t="n">
        <v>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28114-2026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46221</v>
      </c>
      <c r="F447" t="inlineStr">
        <is>
          <t>NORRBOTTENS LÄN</t>
        </is>
      </c>
      <c r="G447" t="inlineStr">
        <is>
          <t>KALIX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22336-2026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46221</v>
      </c>
      <c r="F448" t="inlineStr">
        <is>
          <t>NORRBOTTENS LÄN</t>
        </is>
      </c>
      <c r="G448" t="inlineStr">
        <is>
          <t>KALIX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62983-2025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46221</v>
      </c>
      <c r="F449" t="inlineStr">
        <is>
          <t>NORRBOTTENS LÄN</t>
        </is>
      </c>
      <c r="G449" t="inlineStr">
        <is>
          <t>KALIX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22421-2026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46154</v>
      </c>
      <c r="E450" s="1" t="n">
        <v>46221</v>
      </c>
      <c r="F450" t="inlineStr">
        <is>
          <t>NORRBOTTENS LÄN</t>
        </is>
      </c>
      <c r="G450" t="inlineStr">
        <is>
          <t>KALIX</t>
        </is>
      </c>
      <c r="H450" t="inlineStr">
        <is>
          <t>SCA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22422-2026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46154</v>
      </c>
      <c r="E451" s="1" t="n">
        <v>46221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58656-2025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45986</v>
      </c>
      <c r="E452" s="1" t="n">
        <v>46221</v>
      </c>
      <c r="F452" t="inlineStr">
        <is>
          <t>NORRBOTTENS LÄN</t>
        </is>
      </c>
      <c r="G452" t="inlineStr">
        <is>
          <t>KALIX</t>
        </is>
      </c>
      <c r="H452" t="inlineStr">
        <is>
          <t>Kommuner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46221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1233-2024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45302</v>
      </c>
      <c r="E454" s="1" t="n">
        <v>46221</v>
      </c>
      <c r="F454" t="inlineStr">
        <is>
          <t>NORRBOTTENS LÄN</t>
        </is>
      </c>
      <c r="G454" t="inlineStr">
        <is>
          <t>KALIX</t>
        </is>
      </c>
      <c r="I454" t="n">
        <v>13.5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62135-2023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45266</v>
      </c>
      <c r="E455" s="1" t="n">
        <v>46221</v>
      </c>
      <c r="F455" t="inlineStr">
        <is>
          <t>NORRBOTTENS LÄN</t>
        </is>
      </c>
      <c r="G455" t="inlineStr">
        <is>
          <t>KALIX</t>
        </is>
      </c>
      <c r="I455" t="n">
        <v>8.9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62143-2023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45266</v>
      </c>
      <c r="E456" s="1" t="n">
        <v>46221</v>
      </c>
      <c r="F456" t="inlineStr">
        <is>
          <t>NORRBOTTENS LÄN</t>
        </is>
      </c>
      <c r="G456" t="inlineStr">
        <is>
          <t>KALIX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62148-2023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45266</v>
      </c>
      <c r="E457" s="1" t="n">
        <v>46221</v>
      </c>
      <c r="F457" t="inlineStr">
        <is>
          <t>NORRBOTTENS LÄN</t>
        </is>
      </c>
      <c r="G457" t="inlineStr">
        <is>
          <t>KALIX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28501-2026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46221</v>
      </c>
      <c r="F458" t="inlineStr">
        <is>
          <t>NORRBOTTENS LÄN</t>
        </is>
      </c>
      <c r="G458" t="inlineStr">
        <is>
          <t>KALIX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40032-2024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45553</v>
      </c>
      <c r="E459" s="1" t="n">
        <v>46221</v>
      </c>
      <c r="F459" t="inlineStr">
        <is>
          <t>NORRBOTTENS LÄN</t>
        </is>
      </c>
      <c r="G459" t="inlineStr">
        <is>
          <t>KALIX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59021-2022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44903</v>
      </c>
      <c r="E460" s="1" t="n">
        <v>46221</v>
      </c>
      <c r="F460" t="inlineStr">
        <is>
          <t>NORRBOTTENS LÄN</t>
        </is>
      </c>
      <c r="G460" t="inlineStr">
        <is>
          <t>KALIX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30567-2024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45492</v>
      </c>
      <c r="E461" s="1" t="n">
        <v>46221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22528-2026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46221</v>
      </c>
      <c r="F462" t="inlineStr">
        <is>
          <t>NORRBOTTENS LÄN</t>
        </is>
      </c>
      <c r="G462" t="inlineStr">
        <is>
          <t>KALIX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61885-2025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46003</v>
      </c>
      <c r="E463" s="1" t="n">
        <v>46221</v>
      </c>
      <c r="F463" t="inlineStr">
        <is>
          <t>NORRBOTTENS LÄN</t>
        </is>
      </c>
      <c r="G463" t="inlineStr">
        <is>
          <t>KALIX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28364-2026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46195</v>
      </c>
      <c r="E464" s="1" t="n">
        <v>46221</v>
      </c>
      <c r="F464" t="inlineStr">
        <is>
          <t>NORRBOTTENS LÄN</t>
        </is>
      </c>
      <c r="G464" t="inlineStr">
        <is>
          <t>KALIX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61909-2025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46003</v>
      </c>
      <c r="E465" s="1" t="n">
        <v>46221</v>
      </c>
      <c r="F465" t="inlineStr">
        <is>
          <t>NORRBOTTENS LÄN</t>
        </is>
      </c>
      <c r="G465" t="inlineStr">
        <is>
          <t>KALIX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42009-2024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46221</v>
      </c>
      <c r="F466" t="inlineStr">
        <is>
          <t>NORRBOTTENS LÄN</t>
        </is>
      </c>
      <c r="G466" t="inlineStr">
        <is>
          <t>KALIX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18010-2024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45419</v>
      </c>
      <c r="E467" s="1" t="n">
        <v>46221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9.9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29066-2026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46221</v>
      </c>
      <c r="F468" t="inlineStr">
        <is>
          <t>NORRBOTTENS LÄN</t>
        </is>
      </c>
      <c r="G468" t="inlineStr">
        <is>
          <t>KALIX</t>
        </is>
      </c>
      <c r="H468" t="inlineStr">
        <is>
          <t>SCA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48063-2023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45204</v>
      </c>
      <c r="E469" s="1" t="n">
        <v>46221</v>
      </c>
      <c r="F469" t="inlineStr">
        <is>
          <t>NORRBOTTENS LÄN</t>
        </is>
      </c>
      <c r="G469" t="inlineStr">
        <is>
          <t>KALIX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28891-2026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46221</v>
      </c>
      <c r="F470" t="inlineStr">
        <is>
          <t>NORRBOTTENS LÄN</t>
        </is>
      </c>
      <c r="G470" t="inlineStr">
        <is>
          <t>KALIX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7189-2023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44970</v>
      </c>
      <c r="E471" s="1" t="n">
        <v>46221</v>
      </c>
      <c r="F471" t="inlineStr">
        <is>
          <t>NORRBOTTENS LÄN</t>
        </is>
      </c>
      <c r="G471" t="inlineStr">
        <is>
          <t>KALIX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17661-2023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45036</v>
      </c>
      <c r="E472" s="1" t="n">
        <v>46221</v>
      </c>
      <c r="F472" t="inlineStr">
        <is>
          <t>NORRBOTTENS LÄN</t>
        </is>
      </c>
      <c r="G472" t="inlineStr">
        <is>
          <t>KALIX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29044-2026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46221</v>
      </c>
      <c r="F473" t="inlineStr">
        <is>
          <t>NORRBOTTENS LÄN</t>
        </is>
      </c>
      <c r="G473" t="inlineStr">
        <is>
          <t>KALIX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22984-2026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46160</v>
      </c>
      <c r="E474" s="1" t="n">
        <v>46221</v>
      </c>
      <c r="F474" t="inlineStr">
        <is>
          <t>NORRBOTTENS LÄN</t>
        </is>
      </c>
      <c r="G474" t="inlineStr">
        <is>
          <t>KALIX</t>
        </is>
      </c>
      <c r="I474" t="n">
        <v>14.8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29712-2026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46221</v>
      </c>
      <c r="F475" t="inlineStr">
        <is>
          <t>NORRBOTTENS LÄN</t>
        </is>
      </c>
      <c r="G475" t="inlineStr">
        <is>
          <t>KALIX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29707-2026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46221</v>
      </c>
      <c r="F476" t="inlineStr">
        <is>
          <t>NORRBOTTENS LÄN</t>
        </is>
      </c>
      <c r="G476" t="inlineStr">
        <is>
          <t>KALIX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29560-2026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46221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29463-2026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46221</v>
      </c>
      <c r="F478" t="inlineStr">
        <is>
          <t>NORRBOTTENS LÄN</t>
        </is>
      </c>
      <c r="G478" t="inlineStr">
        <is>
          <t>KALIX</t>
        </is>
      </c>
      <c r="H478" t="inlineStr">
        <is>
          <t>Sveaskog</t>
        </is>
      </c>
      <c r="I478" t="n">
        <v>13.2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46221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23007-2026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46221</v>
      </c>
      <c r="F480" t="inlineStr">
        <is>
          <t>NORRBOTTENS LÄN</t>
        </is>
      </c>
      <c r="G480" t="inlineStr">
        <is>
          <t>KALIX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58353-2022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44901</v>
      </c>
      <c r="E481" s="1" t="n">
        <v>46221</v>
      </c>
      <c r="F481" t="inlineStr">
        <is>
          <t>NORRBOTTENS LÄN</t>
        </is>
      </c>
      <c r="G481" t="inlineStr">
        <is>
          <t>KALIX</t>
        </is>
      </c>
      <c r="H481" t="inlineStr">
        <is>
          <t>Sveaskog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29625-2026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46221</v>
      </c>
      <c r="F482" t="inlineStr">
        <is>
          <t>NORRBOTTENS LÄN</t>
        </is>
      </c>
      <c r="G482" t="inlineStr">
        <is>
          <t>KALIX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23034-2026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46221</v>
      </c>
      <c r="F483" t="inlineStr">
        <is>
          <t>NORRBOTTENS LÄN</t>
        </is>
      </c>
      <c r="G483" t="inlineStr">
        <is>
          <t>KALIX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55539-2024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45622</v>
      </c>
      <c r="E484" s="1" t="n">
        <v>46221</v>
      </c>
      <c r="F484" t="inlineStr">
        <is>
          <t>NORRBOTTENS LÄN</t>
        </is>
      </c>
      <c r="G484" t="inlineStr">
        <is>
          <t>KALIX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8799-2025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45712</v>
      </c>
      <c r="E485" s="1" t="n">
        <v>46221</v>
      </c>
      <c r="F485" t="inlineStr">
        <is>
          <t>NORRBOTTENS LÄN</t>
        </is>
      </c>
      <c r="G485" t="inlineStr">
        <is>
          <t>KALIX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23540-2026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46221</v>
      </c>
      <c r="F486" t="inlineStr">
        <is>
          <t>NORRBOTTENS LÄN</t>
        </is>
      </c>
      <c r="G486" t="inlineStr">
        <is>
          <t>KALIX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30582-2023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45112</v>
      </c>
      <c r="E487" s="1" t="n">
        <v>46221</v>
      </c>
      <c r="F487" t="inlineStr">
        <is>
          <t>NORRBOTTENS LÄN</t>
        </is>
      </c>
      <c r="G487" t="inlineStr">
        <is>
          <t>KALIX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6822-2025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45700</v>
      </c>
      <c r="E488" s="1" t="n">
        <v>46221</v>
      </c>
      <c r="F488" t="inlineStr">
        <is>
          <t>NORRBOTTENS LÄN</t>
        </is>
      </c>
      <c r="G488" t="inlineStr">
        <is>
          <t>KALIX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58659-2025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45986</v>
      </c>
      <c r="E489" s="1" t="n">
        <v>46221</v>
      </c>
      <c r="F489" t="inlineStr">
        <is>
          <t>NORRBOTTENS LÄN</t>
        </is>
      </c>
      <c r="G489" t="inlineStr">
        <is>
          <t>KALIX</t>
        </is>
      </c>
      <c r="H489" t="inlineStr">
        <is>
          <t>Kommuner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60508-2023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45259</v>
      </c>
      <c r="E490" s="1" t="n">
        <v>46221</v>
      </c>
      <c r="F490" t="inlineStr">
        <is>
          <t>NORRBOTTENS LÄN</t>
        </is>
      </c>
      <c r="G490" t="inlineStr">
        <is>
          <t>KALIX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59736-2024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45639</v>
      </c>
      <c r="E491" s="1" t="n">
        <v>46221</v>
      </c>
      <c r="F491" t="inlineStr">
        <is>
          <t>NORRBOTTENS LÄN</t>
        </is>
      </c>
      <c r="G491" t="inlineStr">
        <is>
          <t>KALIX</t>
        </is>
      </c>
      <c r="I491" t="n">
        <v>63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59886-2024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45641</v>
      </c>
      <c r="E492" s="1" t="n">
        <v>46221</v>
      </c>
      <c r="F492" t="inlineStr">
        <is>
          <t>NORRBOTTENS LÄN</t>
        </is>
      </c>
      <c r="G492" t="inlineStr">
        <is>
          <t>KALIX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35051-2023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45145</v>
      </c>
      <c r="E493" s="1" t="n">
        <v>46221</v>
      </c>
      <c r="F493" t="inlineStr">
        <is>
          <t>NORRBOTTENS LÄN</t>
        </is>
      </c>
      <c r="G493" t="inlineStr">
        <is>
          <t>KALIX</t>
        </is>
      </c>
      <c r="H493" t="inlineStr">
        <is>
          <t>Sveaskog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62166-2023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45266</v>
      </c>
      <c r="E494" s="1" t="n">
        <v>46221</v>
      </c>
      <c r="F494" t="inlineStr">
        <is>
          <t>NORRBOTTENS LÄN</t>
        </is>
      </c>
      <c r="G494" t="inlineStr">
        <is>
          <t>KALIX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23898-2026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46221</v>
      </c>
      <c r="F495" t="inlineStr">
        <is>
          <t>NORRBOTTENS LÄN</t>
        </is>
      </c>
      <c r="G495" t="inlineStr">
        <is>
          <t>KALIX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58578-2023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46221</v>
      </c>
      <c r="F496" t="inlineStr">
        <is>
          <t>NORRBOTTENS LÄN</t>
        </is>
      </c>
      <c r="G496" t="inlineStr">
        <is>
          <t>KALIX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41661-2023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45175</v>
      </c>
      <c r="E497" s="1" t="n">
        <v>46221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44956</v>
      </c>
      <c r="E498" s="1" t="n">
        <v>46221</v>
      </c>
      <c r="F498" t="inlineStr">
        <is>
          <t>NORRBOTTENS LÄN</t>
        </is>
      </c>
      <c r="G498" t="inlineStr">
        <is>
          <t>KALIX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12462-2025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45730</v>
      </c>
      <c r="E499" s="1" t="n">
        <v>46221</v>
      </c>
      <c r="F499" t="inlineStr">
        <is>
          <t>NORRBOTTENS LÄN</t>
        </is>
      </c>
      <c r="G499" t="inlineStr">
        <is>
          <t>KALIX</t>
        </is>
      </c>
      <c r="H499" t="inlineStr">
        <is>
          <t>SCA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3310-2025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45679</v>
      </c>
      <c r="E500" s="1" t="n">
        <v>46221</v>
      </c>
      <c r="F500" t="inlineStr">
        <is>
          <t>NORRBOTTENS LÄN</t>
        </is>
      </c>
      <c r="G500" t="inlineStr">
        <is>
          <t>KALIX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37657-2023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46221</v>
      </c>
      <c r="F501" t="inlineStr">
        <is>
          <t>NORRBOTTENS LÄN</t>
        </is>
      </c>
      <c r="G501" t="inlineStr">
        <is>
          <t>KALIX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24033-2026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46167</v>
      </c>
      <c r="E502" s="1" t="n">
        <v>46221</v>
      </c>
      <c r="F502" t="inlineStr">
        <is>
          <t>NORRBOTTENS LÄN</t>
        </is>
      </c>
      <c r="G502" t="inlineStr">
        <is>
          <t>KALIX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15515-2024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45401</v>
      </c>
      <c r="E503" s="1" t="n">
        <v>46221</v>
      </c>
      <c r="F503" t="inlineStr">
        <is>
          <t>NORRBOTTENS LÄN</t>
        </is>
      </c>
      <c r="G503" t="inlineStr">
        <is>
          <t>KALIX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24042-2026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46221</v>
      </c>
      <c r="F504" t="inlineStr">
        <is>
          <t>NORRBOTTENS LÄN</t>
        </is>
      </c>
      <c r="G504" t="inlineStr">
        <is>
          <t>KALIX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54506-2023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45226</v>
      </c>
      <c r="E505" s="1" t="n">
        <v>46221</v>
      </c>
      <c r="F505" t="inlineStr">
        <is>
          <t>NORRBOTTENS LÄN</t>
        </is>
      </c>
      <c r="G505" t="inlineStr">
        <is>
          <t>KALIX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24250-2026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46221</v>
      </c>
      <c r="F506" t="inlineStr">
        <is>
          <t>NORRBOTTENS LÄN</t>
        </is>
      </c>
      <c r="G506" t="inlineStr">
        <is>
          <t>KALIX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58585-2022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44894</v>
      </c>
      <c r="E507" s="1" t="n">
        <v>46221</v>
      </c>
      <c r="F507" t="inlineStr">
        <is>
          <t>NORRBOTTENS LÄN</t>
        </is>
      </c>
      <c r="G507" t="inlineStr">
        <is>
          <t>KALIX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29310-2023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45105</v>
      </c>
      <c r="E508" s="1" t="n">
        <v>46221</v>
      </c>
      <c r="F508" t="inlineStr">
        <is>
          <t>NORRBOTTENS LÄN</t>
        </is>
      </c>
      <c r="G508" t="inlineStr">
        <is>
          <t>KALIX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57860-2022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44898</v>
      </c>
      <c r="E509" s="1" t="n">
        <v>46221</v>
      </c>
      <c r="F509" t="inlineStr">
        <is>
          <t>NORRBOTTENS LÄN</t>
        </is>
      </c>
      <c r="G509" t="inlineStr">
        <is>
          <t>KALIX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24665-2026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46221</v>
      </c>
      <c r="F510" t="inlineStr">
        <is>
          <t>NORRBOTTENS LÄN</t>
        </is>
      </c>
      <c r="G510" t="inlineStr">
        <is>
          <t>KALIX</t>
        </is>
      </c>
      <c r="H510" t="inlineStr">
        <is>
          <t>Sveaskog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58182-2024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46221</v>
      </c>
      <c r="F511" t="inlineStr">
        <is>
          <t>NORRBOTTENS LÄN</t>
        </is>
      </c>
      <c r="G511" t="inlineStr">
        <is>
          <t>KALIX</t>
        </is>
      </c>
      <c r="I511" t="n">
        <v>17.4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46585-2024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45582</v>
      </c>
      <c r="E512" s="1" t="n">
        <v>46221</v>
      </c>
      <c r="F512" t="inlineStr">
        <is>
          <t>NORRBOTTENS LÄN</t>
        </is>
      </c>
      <c r="G512" t="inlineStr">
        <is>
          <t>KALIX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25107-2026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46221</v>
      </c>
      <c r="F513" t="inlineStr">
        <is>
          <t>NORRBOTTENS LÄN</t>
        </is>
      </c>
      <c r="G513" t="inlineStr">
        <is>
          <t>KALIX</t>
        </is>
      </c>
      <c r="I513" t="n">
        <v>8.699999999999999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25179-2026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46221</v>
      </c>
      <c r="F514" t="inlineStr">
        <is>
          <t>NORRBOTTENS LÄN</t>
        </is>
      </c>
      <c r="G514" t="inlineStr">
        <is>
          <t>KALIX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25111-2026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46221</v>
      </c>
      <c r="F515" t="inlineStr">
        <is>
          <t>NORRBOTTENS LÄN</t>
        </is>
      </c>
      <c r="G515" t="inlineStr">
        <is>
          <t>KALIX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36715-2024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45537</v>
      </c>
      <c r="E516" s="1" t="n">
        <v>46221</v>
      </c>
      <c r="F516" t="inlineStr">
        <is>
          <t>NORRBOTTENS LÄN</t>
        </is>
      </c>
      <c r="G516" t="inlineStr">
        <is>
          <t>KALIX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20317-2023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45054</v>
      </c>
      <c r="E517" s="1" t="n">
        <v>46221</v>
      </c>
      <c r="F517" t="inlineStr">
        <is>
          <t>NORRBOTTENS LÄN</t>
        </is>
      </c>
      <c r="G517" t="inlineStr">
        <is>
          <t>KALIX</t>
        </is>
      </c>
      <c r="I517" t="n">
        <v>8.800000000000001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8802-2025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45712</v>
      </c>
      <c r="E518" s="1" t="n">
        <v>46221</v>
      </c>
      <c r="F518" t="inlineStr">
        <is>
          <t>NORRBOTTENS LÄN</t>
        </is>
      </c>
      <c r="G518" t="inlineStr">
        <is>
          <t>KALIX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25222-2026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46221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58999-2023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45225</v>
      </c>
      <c r="E520" s="1" t="n">
        <v>46221</v>
      </c>
      <c r="F520" t="inlineStr">
        <is>
          <t>NORRBOTTENS LÄN</t>
        </is>
      </c>
      <c r="G520" t="inlineStr">
        <is>
          <t>KALIX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12927-2024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45385</v>
      </c>
      <c r="E521" s="1" t="n">
        <v>46221</v>
      </c>
      <c r="F521" t="inlineStr">
        <is>
          <t>NORRBOTTENS LÄN</t>
        </is>
      </c>
      <c r="G521" t="inlineStr">
        <is>
          <t>KALIX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41577-2024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45560</v>
      </c>
      <c r="E522" s="1" t="n">
        <v>46221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6624-2025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45700</v>
      </c>
      <c r="E523" s="1" t="n">
        <v>46221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25736-2026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46221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10073-2025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46221</v>
      </c>
      <c r="F525" t="inlineStr">
        <is>
          <t>NORRBOTTENS LÄN</t>
        </is>
      </c>
      <c r="G525" t="inlineStr">
        <is>
          <t>KALIX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3043-2025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45678</v>
      </c>
      <c r="E526" s="1" t="n">
        <v>46221</v>
      </c>
      <c r="F526" t="inlineStr">
        <is>
          <t>NORRBOTTENS LÄN</t>
        </is>
      </c>
      <c r="G526" t="inlineStr">
        <is>
          <t>KALIX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9450-2023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44981</v>
      </c>
      <c r="E527" s="1" t="n">
        <v>46221</v>
      </c>
      <c r="F527" t="inlineStr">
        <is>
          <t>NORRBOTTENS LÄN</t>
        </is>
      </c>
      <c r="G527" t="inlineStr">
        <is>
          <t>KALIX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47154-2024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45586</v>
      </c>
      <c r="E528" s="1" t="n">
        <v>46221</v>
      </c>
      <c r="F528" t="inlineStr">
        <is>
          <t>NORRBOTTENS LÄN</t>
        </is>
      </c>
      <c r="G528" t="inlineStr">
        <is>
          <t>KALIX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21606-2023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45063</v>
      </c>
      <c r="E529" s="1" t="n">
        <v>46221</v>
      </c>
      <c r="F529" t="inlineStr">
        <is>
          <t>NORRBOTTENS LÄN</t>
        </is>
      </c>
      <c r="G529" t="inlineStr">
        <is>
          <t>KALIX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56470-2023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45237</v>
      </c>
      <c r="E530" s="1" t="n">
        <v>46221</v>
      </c>
      <c r="F530" t="inlineStr">
        <is>
          <t>NORRBOTTENS LÄN</t>
        </is>
      </c>
      <c r="G530" t="inlineStr">
        <is>
          <t>KALIX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41132-2023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45173</v>
      </c>
      <c r="E531" s="1" t="n">
        <v>46221</v>
      </c>
      <c r="F531" t="inlineStr">
        <is>
          <t>NORRBOTTENS LÄN</t>
        </is>
      </c>
      <c r="G531" t="inlineStr">
        <is>
          <t>KALIX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24616-2024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45460</v>
      </c>
      <c r="E532" s="1" t="n">
        <v>46221</v>
      </c>
      <c r="F532" t="inlineStr">
        <is>
          <t>NORRBOTTENS LÄN</t>
        </is>
      </c>
      <c r="G532" t="inlineStr">
        <is>
          <t>KALIX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32056-2024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45510</v>
      </c>
      <c r="E533" s="1" t="n">
        <v>46221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20357-2023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45058</v>
      </c>
      <c r="E534" s="1" t="n">
        <v>46221</v>
      </c>
      <c r="F534" t="inlineStr">
        <is>
          <t>NORRBOTTENS LÄN</t>
        </is>
      </c>
      <c r="G534" t="inlineStr">
        <is>
          <t>KALIX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37781-2024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45542</v>
      </c>
      <c r="E535" s="1" t="n">
        <v>46221</v>
      </c>
      <c r="F535" t="inlineStr">
        <is>
          <t>NORRBOTTENS LÄN</t>
        </is>
      </c>
      <c r="G535" t="inlineStr">
        <is>
          <t>KALIX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7186-2023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46221</v>
      </c>
      <c r="F536" t="inlineStr">
        <is>
          <t>NORRBOTTENS LÄN</t>
        </is>
      </c>
      <c r="G536" t="inlineStr">
        <is>
          <t>KALIX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6245-2023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44964</v>
      </c>
      <c r="E537" s="1" t="n">
        <v>46221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59557-2024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45638</v>
      </c>
      <c r="E538" s="1" t="n">
        <v>46221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31579-2023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46221</v>
      </c>
      <c r="F539" t="inlineStr">
        <is>
          <t>NORRBOTTENS LÄN</t>
        </is>
      </c>
      <c r="G539" t="inlineStr">
        <is>
          <t>KALIX</t>
        </is>
      </c>
      <c r="H539" t="inlineStr">
        <is>
          <t>Sveaskog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263-2025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45660</v>
      </c>
      <c r="E540" s="1" t="n">
        <v>46221</v>
      </c>
      <c r="F540" t="inlineStr">
        <is>
          <t>NORRBOTTENS LÄN</t>
        </is>
      </c>
      <c r="G540" t="inlineStr">
        <is>
          <t>KALIX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1230-2025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45667</v>
      </c>
      <c r="E541" s="1" t="n">
        <v>46221</v>
      </c>
      <c r="F541" t="inlineStr">
        <is>
          <t>NORRBOTTENS LÄN</t>
        </is>
      </c>
      <c r="G541" t="inlineStr">
        <is>
          <t>KALIX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20895-2025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45777</v>
      </c>
      <c r="E542" s="1" t="n">
        <v>46221</v>
      </c>
      <c r="F542" t="inlineStr">
        <is>
          <t>NORRBOTTENS LÄN</t>
        </is>
      </c>
      <c r="G542" t="inlineStr">
        <is>
          <t>KALIX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21875-2025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45784</v>
      </c>
      <c r="E543" s="1" t="n">
        <v>46221</v>
      </c>
      <c r="F543" t="inlineStr">
        <is>
          <t>NORRBOTTENS LÄN</t>
        </is>
      </c>
      <c r="G543" t="inlineStr">
        <is>
          <t>KALIX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13380-2023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45005</v>
      </c>
      <c r="E544" s="1" t="n">
        <v>46221</v>
      </c>
      <c r="F544" t="inlineStr">
        <is>
          <t>NORRBOTTENS LÄN</t>
        </is>
      </c>
      <c r="G544" t="inlineStr">
        <is>
          <t>KALIX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16046-2024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45405</v>
      </c>
      <c r="E545" s="1" t="n">
        <v>46221</v>
      </c>
      <c r="F545" t="inlineStr">
        <is>
          <t>NORRBOTTENS LÄN</t>
        </is>
      </c>
      <c r="G545" t="inlineStr">
        <is>
          <t>KALIX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22216-2025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45785</v>
      </c>
      <c r="E546" s="1" t="n">
        <v>46221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20.9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62525-2022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44917</v>
      </c>
      <c r="E547" s="1" t="n">
        <v>46221</v>
      </c>
      <c r="F547" t="inlineStr">
        <is>
          <t>NORRBOTTENS LÄN</t>
        </is>
      </c>
      <c r="G547" t="inlineStr">
        <is>
          <t>KALIX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15823-2025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45748</v>
      </c>
      <c r="E548" s="1" t="n">
        <v>46221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23027-2025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45790</v>
      </c>
      <c r="E549" s="1" t="n">
        <v>46221</v>
      </c>
      <c r="F549" t="inlineStr">
        <is>
          <t>NORRBOTTENS LÄN</t>
        </is>
      </c>
      <c r="G549" t="inlineStr">
        <is>
          <t>KALIX</t>
        </is>
      </c>
      <c r="H549" t="inlineStr">
        <is>
          <t>SCA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19527-2024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45429</v>
      </c>
      <c r="E550" s="1" t="n">
        <v>46221</v>
      </c>
      <c r="F550" t="inlineStr">
        <is>
          <t>NORRBOTTENS LÄN</t>
        </is>
      </c>
      <c r="G550" t="inlineStr">
        <is>
          <t>KALIX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62443-2023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45268</v>
      </c>
      <c r="E551" s="1" t="n">
        <v>46221</v>
      </c>
      <c r="F551" t="inlineStr">
        <is>
          <t>NORRBOTTENS LÄN</t>
        </is>
      </c>
      <c r="G551" t="inlineStr">
        <is>
          <t>KALIX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41131-2023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45173</v>
      </c>
      <c r="E552" s="1" t="n">
        <v>46221</v>
      </c>
      <c r="F552" t="inlineStr">
        <is>
          <t>NORRBOTTENS LÄN</t>
        </is>
      </c>
      <c r="G552" t="inlineStr">
        <is>
          <t>KALIX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25034-2025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45799</v>
      </c>
      <c r="E553" s="1" t="n">
        <v>46221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17.9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24890-2025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45799</v>
      </c>
      <c r="E554" s="1" t="n">
        <v>46221</v>
      </c>
      <c r="F554" t="inlineStr">
        <is>
          <t>NORRBOTTENS LÄN</t>
        </is>
      </c>
      <c r="G554" t="inlineStr">
        <is>
          <t>KALIX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61104-2024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45645</v>
      </c>
      <c r="E555" s="1" t="n">
        <v>46221</v>
      </c>
      <c r="F555" t="inlineStr">
        <is>
          <t>NORRBOTTENS LÄN</t>
        </is>
      </c>
      <c r="G555" t="inlineStr">
        <is>
          <t>KALIX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3614-2025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46221</v>
      </c>
      <c r="F556" t="inlineStr">
        <is>
          <t>NORRBOTTENS LÄN</t>
        </is>
      </c>
      <c r="G556" t="inlineStr">
        <is>
          <t>KALIX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25014-2025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45799</v>
      </c>
      <c r="E557" s="1" t="n">
        <v>46221</v>
      </c>
      <c r="F557" t="inlineStr">
        <is>
          <t>NORRBOTTENS LÄN</t>
        </is>
      </c>
      <c r="G557" t="inlineStr">
        <is>
          <t>KALIX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24874-2025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45799</v>
      </c>
      <c r="E558" s="1" t="n">
        <v>46221</v>
      </c>
      <c r="F558" t="inlineStr">
        <is>
          <t>NORRBOTTENS LÄN</t>
        </is>
      </c>
      <c r="G558" t="inlineStr">
        <is>
          <t>KALIX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9887-2024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45363</v>
      </c>
      <c r="E559" s="1" t="n">
        <v>46221</v>
      </c>
      <c r="F559" t="inlineStr">
        <is>
          <t>NORRBOTTENS LÄN</t>
        </is>
      </c>
      <c r="G559" t="inlineStr">
        <is>
          <t>KALIX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2172-2022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44678</v>
      </c>
      <c r="E560" s="1" t="n">
        <v>46221</v>
      </c>
      <c r="F560" t="inlineStr">
        <is>
          <t>NORRBOTTENS LÄN</t>
        </is>
      </c>
      <c r="G560" t="inlineStr">
        <is>
          <t>KALIX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1138-2024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45393</v>
      </c>
      <c r="E561" s="1" t="n">
        <v>46221</v>
      </c>
      <c r="F561" t="inlineStr">
        <is>
          <t>NORRBOTTENS LÄN</t>
        </is>
      </c>
      <c r="G561" t="inlineStr">
        <is>
          <t>KALIX</t>
        </is>
      </c>
      <c r="I561" t="n">
        <v>16.5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1658-2023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45061</v>
      </c>
      <c r="E562" s="1" t="n">
        <v>46221</v>
      </c>
      <c r="F562" t="inlineStr">
        <is>
          <t>NORRBOTTENS LÄN</t>
        </is>
      </c>
      <c r="G562" t="inlineStr">
        <is>
          <t>KALIX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157-2023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44944</v>
      </c>
      <c r="E563" s="1" t="n">
        <v>46221</v>
      </c>
      <c r="F563" t="inlineStr">
        <is>
          <t>NORRBOTTENS LÄN</t>
        </is>
      </c>
      <c r="G563" t="inlineStr">
        <is>
          <t>KALIX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1139-2024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45393</v>
      </c>
      <c r="E564" s="1" t="n">
        <v>46221</v>
      </c>
      <c r="F564" t="inlineStr">
        <is>
          <t>NORRBOTTENS LÄN</t>
        </is>
      </c>
      <c r="G564" t="inlineStr">
        <is>
          <t>KALIX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1659-2023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45061</v>
      </c>
      <c r="E565" s="1" t="n">
        <v>46221</v>
      </c>
      <c r="F565" t="inlineStr">
        <is>
          <t>NORRBOTTENS LÄN</t>
        </is>
      </c>
      <c r="G565" t="inlineStr">
        <is>
          <t>KALIX</t>
        </is>
      </c>
      <c r="I565" t="n">
        <v>17.1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1131-2024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45393</v>
      </c>
      <c r="E566" s="1" t="n">
        <v>46221</v>
      </c>
      <c r="F566" t="inlineStr">
        <is>
          <t>NORRBOTTENS LÄN</t>
        </is>
      </c>
      <c r="G566" t="inlineStr">
        <is>
          <t>KALIX</t>
        </is>
      </c>
      <c r="I566" t="n">
        <v>12.6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1656-2023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45061</v>
      </c>
      <c r="E567" s="1" t="n">
        <v>46221</v>
      </c>
      <c r="F567" t="inlineStr">
        <is>
          <t>NORRBOTTENS LÄN</t>
        </is>
      </c>
      <c r="G567" t="inlineStr">
        <is>
          <t>KALIX</t>
        </is>
      </c>
      <c r="I567" t="n">
        <v>12.6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961-2024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45383</v>
      </c>
      <c r="E568" s="1" t="n">
        <v>46221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9.9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849-2025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45733</v>
      </c>
      <c r="E569" s="1" t="n">
        <v>46221</v>
      </c>
      <c r="F569" t="inlineStr">
        <is>
          <t>NORRBOTTENS LÄN</t>
        </is>
      </c>
      <c r="G569" t="inlineStr">
        <is>
          <t>KALIX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1018-2025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45747</v>
      </c>
      <c r="E570" s="1" t="n">
        <v>46221</v>
      </c>
      <c r="F570" t="inlineStr">
        <is>
          <t>NORRBOTTENS LÄN</t>
        </is>
      </c>
      <c r="G570" t="inlineStr">
        <is>
          <t>KALIX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1019-2025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45747</v>
      </c>
      <c r="E571" s="1" t="n">
        <v>46221</v>
      </c>
      <c r="F571" t="inlineStr">
        <is>
          <t>NORRBOTTENS LÄN</t>
        </is>
      </c>
      <c r="G571" t="inlineStr">
        <is>
          <t>KALIX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1017-2025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45747</v>
      </c>
      <c r="E572" s="1" t="n">
        <v>46221</v>
      </c>
      <c r="F572" t="inlineStr">
        <is>
          <t>NORRBOTTENS LÄN</t>
        </is>
      </c>
      <c r="G572" t="inlineStr">
        <is>
          <t>KALIX</t>
        </is>
      </c>
      <c r="I572" t="n">
        <v>15.7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1176-2025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45756</v>
      </c>
      <c r="E573" s="1" t="n">
        <v>46221</v>
      </c>
      <c r="F573" t="inlineStr">
        <is>
          <t>NORRBOTTENS LÄN</t>
        </is>
      </c>
      <c r="G573" t="inlineStr">
        <is>
          <t>KALIX</t>
        </is>
      </c>
      <c r="I573" t="n">
        <v>17.6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1356-2025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45775</v>
      </c>
      <c r="E574" s="1" t="n">
        <v>46221</v>
      </c>
      <c r="F574" t="inlineStr">
        <is>
          <t>NORRBOTTENS LÄN</t>
        </is>
      </c>
      <c r="G574" t="inlineStr">
        <is>
          <t>KALIX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1355-2025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45775</v>
      </c>
      <c r="E575" s="1" t="n">
        <v>46221</v>
      </c>
      <c r="F575" t="inlineStr">
        <is>
          <t>NORRBOTTENS LÄN</t>
        </is>
      </c>
      <c r="G575" t="inlineStr">
        <is>
          <t>KALIX</t>
        </is>
      </c>
      <c r="I575" t="n">
        <v>36.9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1798-2026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46190</v>
      </c>
      <c r="E576" s="1" t="n">
        <v>46221</v>
      </c>
      <c r="F576" t="inlineStr">
        <is>
          <t>NORRBOTTENS LÄN</t>
        </is>
      </c>
      <c r="G576" t="inlineStr">
        <is>
          <t>KALIX</t>
        </is>
      </c>
      <c r="I576" t="n">
        <v>12.8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1797-2026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46190</v>
      </c>
      <c r="E577" s="1" t="n">
        <v>46221</v>
      </c>
      <c r="F577" t="inlineStr">
        <is>
          <t>NORRBOTTENS LÄN</t>
        </is>
      </c>
      <c r="G577" t="inlineStr">
        <is>
          <t>KALIX</t>
        </is>
      </c>
      <c r="I577" t="n">
        <v>17.6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>
      <c r="A578" t="inlineStr">
        <is>
          <t>S 1493-2026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46162</v>
      </c>
      <c r="E578" s="1" t="n">
        <v>46221</v>
      </c>
      <c r="F578" t="inlineStr">
        <is>
          <t>NORRBOTTENS LÄN</t>
        </is>
      </c>
      <c r="G578" t="inlineStr">
        <is>
          <t>KALIX</t>
        </is>
      </c>
      <c r="I578" t="n">
        <v>13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2026-07-18T01:21:30Z</dcterms:created>
  <dcterms:modified xmlns:dcterms="http://purl.org/dc/terms/" xmlns:xsi="http://www.w3.org/2001/XMLSchema-instance" xsi:type="dcterms:W3CDTF">2026-07-18T01:21:31Z</dcterms:modified>
</cp:coreProperties>
</file>