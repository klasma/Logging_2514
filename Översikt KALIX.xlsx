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46093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46093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46093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46093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46093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46093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46093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46093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46093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46093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46093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46093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46093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46093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46093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46093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46093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46093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46093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46093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46093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46093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46093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46093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46093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46093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46093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46093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46093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46093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17351-2021</t>
        </is>
      </c>
      <c r="B32" s="1" t="n">
        <v>44298</v>
      </c>
      <c r="C32" s="1" t="n">
        <v>46093</v>
      </c>
      <c r="D32" t="inlineStr">
        <is>
          <t>NORRBOTTENS LÄN</t>
        </is>
      </c>
      <c r="E32" t="inlineStr">
        <is>
          <t>KALIX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44577.70938657408</v>
      </c>
      <c r="C33" s="1" t="n">
        <v>46093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26179-2021</t>
        </is>
      </c>
      <c r="B34" s="1" t="n">
        <v>44344</v>
      </c>
      <c r="C34" s="1" t="n">
        <v>46093</v>
      </c>
      <c r="D34" t="inlineStr">
        <is>
          <t>NORRBOTTENS LÄN</t>
        </is>
      </c>
      <c r="E34" t="inlineStr">
        <is>
          <t>KALIX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30005-2022</t>
        </is>
      </c>
      <c r="B35" s="1" t="n">
        <v>44756</v>
      </c>
      <c r="C35" s="1" t="n">
        <v>46093</v>
      </c>
      <c r="D35" t="inlineStr">
        <is>
          <t>NORRBOTTENS LÄN</t>
        </is>
      </c>
      <c r="E35" t="inlineStr">
        <is>
          <t>KALIX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46093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46093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46093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34368-2021</t>
        </is>
      </c>
      <c r="B39" s="1" t="n">
        <v>44379</v>
      </c>
      <c r="C39" s="1" t="n">
        <v>46093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15958-2021</t>
        </is>
      </c>
      <c r="B40" s="1" t="n">
        <v>44287</v>
      </c>
      <c r="C40" s="1" t="n">
        <v>46093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44456.41886574074</v>
      </c>
      <c r="C41" s="1" t="n">
        <v>46093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46093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46093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44776.66797453703</v>
      </c>
      <c r="C44" s="1" t="n">
        <v>46093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46093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15956-2021</t>
        </is>
      </c>
      <c r="B46" s="1" t="n">
        <v>44286</v>
      </c>
      <c r="C46" s="1" t="n">
        <v>46093</v>
      </c>
      <c r="D46" t="inlineStr">
        <is>
          <t>NORRBOTTENS LÄN</t>
        </is>
      </c>
      <c r="E46" t="inlineStr">
        <is>
          <t>KALIX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17781-2021</t>
        </is>
      </c>
      <c r="B47" s="1" t="n">
        <v>44300</v>
      </c>
      <c r="C47" s="1" t="n">
        <v>46093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46093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46093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46093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64889-2021</t>
        </is>
      </c>
      <c r="B51" s="1" t="n">
        <v>44512</v>
      </c>
      <c r="C51" s="1" t="n">
        <v>46093</v>
      </c>
      <c r="D51" t="inlineStr">
        <is>
          <t>NORRBOTTENS LÄN</t>
        </is>
      </c>
      <c r="E51" t="inlineStr">
        <is>
          <t>KALIX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46093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46093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46093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46093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49761-2021</t>
        </is>
      </c>
      <c r="B56" s="1" t="n">
        <v>44455</v>
      </c>
      <c r="C56" s="1" t="n">
        <v>46093</v>
      </c>
      <c r="D56" t="inlineStr">
        <is>
          <t>NORRBOTTENS LÄN</t>
        </is>
      </c>
      <c r="E56" t="inlineStr">
        <is>
          <t>KALIX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50362-2021</t>
        </is>
      </c>
      <c r="B57" s="1" t="n">
        <v>44459</v>
      </c>
      <c r="C57" s="1" t="n">
        <v>46093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53640-2021</t>
        </is>
      </c>
      <c r="B58" s="1" t="n">
        <v>44469.40788194445</v>
      </c>
      <c r="C58" s="1" t="n">
        <v>46093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34199-2021</t>
        </is>
      </c>
      <c r="B59" s="1" t="n">
        <v>44379</v>
      </c>
      <c r="C59" s="1" t="n">
        <v>46093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27702-2021</t>
        </is>
      </c>
      <c r="B60" s="1" t="n">
        <v>44354</v>
      </c>
      <c r="C60" s="1" t="n">
        <v>46093</v>
      </c>
      <c r="D60" t="inlineStr">
        <is>
          <t>NORRBOTTENS LÄN</t>
        </is>
      </c>
      <c r="E60" t="inlineStr">
        <is>
          <t>KALIX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36026-2021</t>
        </is>
      </c>
      <c r="B61" s="1" t="n">
        <v>44386</v>
      </c>
      <c r="C61" s="1" t="n">
        <v>46093</v>
      </c>
      <c r="D61" t="inlineStr">
        <is>
          <t>NORRBOTTENS LÄN</t>
        </is>
      </c>
      <c r="E61" t="inlineStr">
        <is>
          <t>KALIX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46093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72031-2021</t>
        </is>
      </c>
      <c r="B63" s="1" t="n">
        <v>44544</v>
      </c>
      <c r="C63" s="1" t="n">
        <v>46093</v>
      </c>
      <c r="D63" t="inlineStr">
        <is>
          <t>NORRBOTTENS LÄN</t>
        </is>
      </c>
      <c r="E63" t="inlineStr">
        <is>
          <t>KALIX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27060-2021</t>
        </is>
      </c>
      <c r="B64" s="1" t="n">
        <v>44350</v>
      </c>
      <c r="C64" s="1" t="n">
        <v>46093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33159-2022</t>
        </is>
      </c>
      <c r="B65" s="1" t="n">
        <v>44785.58358796296</v>
      </c>
      <c r="C65" s="1" t="n">
        <v>46093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44527-2021</t>
        </is>
      </c>
      <c r="B66" s="1" t="n">
        <v>44435.62583333333</v>
      </c>
      <c r="C66" s="1" t="n">
        <v>46093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52476-2022</t>
        </is>
      </c>
      <c r="B67" s="1" t="n">
        <v>44874.48328703704</v>
      </c>
      <c r="C67" s="1" t="n">
        <v>46093</v>
      </c>
      <c r="D67" t="inlineStr">
        <is>
          <t>NORRBOTTENS LÄN</t>
        </is>
      </c>
      <c r="E67" t="inlineStr">
        <is>
          <t>KALIX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29337-2021</t>
        </is>
      </c>
      <c r="B68" s="1" t="n">
        <v>44361.44074074074</v>
      </c>
      <c r="C68" s="1" t="n">
        <v>46093</v>
      </c>
      <c r="D68" t="inlineStr">
        <is>
          <t>NORRBOTTENS LÄN</t>
        </is>
      </c>
      <c r="E68" t="inlineStr">
        <is>
          <t>KALIX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32448-2021</t>
        </is>
      </c>
      <c r="B69" s="1" t="n">
        <v>44371</v>
      </c>
      <c r="C69" s="1" t="n">
        <v>46093</v>
      </c>
      <c r="D69" t="inlineStr">
        <is>
          <t>NORRBOTTENS LÄN</t>
        </is>
      </c>
      <c r="E69" t="inlineStr">
        <is>
          <t>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34525-2021</t>
        </is>
      </c>
      <c r="B70" s="1" t="n">
        <v>44382</v>
      </c>
      <c r="C70" s="1" t="n">
        <v>46093</v>
      </c>
      <c r="D70" t="inlineStr">
        <is>
          <t>NORRBOTTENS LÄN</t>
        </is>
      </c>
      <c r="E70" t="inlineStr">
        <is>
          <t>KALIX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34527-2021</t>
        </is>
      </c>
      <c r="B71" s="1" t="n">
        <v>44382</v>
      </c>
      <c r="C71" s="1" t="n">
        <v>46093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51182-2021</t>
        </is>
      </c>
      <c r="B72" s="1" t="n">
        <v>44461</v>
      </c>
      <c r="C72" s="1" t="n">
        <v>46093</v>
      </c>
      <c r="D72" t="inlineStr">
        <is>
          <t>NORRBOTTENS LÄN</t>
        </is>
      </c>
      <c r="E72" t="inlineStr">
        <is>
          <t>KALIX</t>
        </is>
      </c>
      <c r="G72" t="n">
        <v>23.1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54163-2021</t>
        </is>
      </c>
      <c r="B73" s="1" t="n">
        <v>44470.55629629629</v>
      </c>
      <c r="C73" s="1" t="n">
        <v>46093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HYPERLINK("https://klasma.github.io/Logging_2514/knärot/A 54163-2021 karta knärot.png", "A 54163-2021")</f>
        <v/>
      </c>
      <c r="V73">
        <f>HYPERLINK("https://klasma.github.io/Logging_2514/klagomål/A 54163-2021 FSC-klagomål.docx", "A 54163-2021")</f>
        <v/>
      </c>
      <c r="W73">
        <f>HYPERLINK("https://klasma.github.io/Logging_2514/klagomålsmail/A 54163-2021 FSC-klagomål mail.docx", "A 54163-2021")</f>
        <v/>
      </c>
      <c r="X73">
        <f>HYPERLINK("https://klasma.github.io/Logging_2514/tillsyn/A 54163-2021 tillsynsbegäran.docx", "A 54163-2021")</f>
        <v/>
      </c>
      <c r="Y73">
        <f>HYPERLINK("https://klasma.github.io/Logging_2514/tillsynsmail/A 54163-2021 tillsynsbegäran mail.docx", "A 54163-2021")</f>
        <v/>
      </c>
    </row>
    <row r="74" ht="15" customHeight="1">
      <c r="A74" t="inlineStr">
        <is>
          <t>A 12195-2022</t>
        </is>
      </c>
      <c r="B74" s="1" t="n">
        <v>44636.94204861111</v>
      </c>
      <c r="C74" s="1" t="n">
        <v>46093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25740-2022</t>
        </is>
      </c>
      <c r="B75" s="1" t="n">
        <v>44733.4328125</v>
      </c>
      <c r="C75" s="1" t="n">
        <v>46093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33807-2025</t>
        </is>
      </c>
      <c r="B76" s="1" t="n">
        <v>45842.44878472222</v>
      </c>
      <c r="C76" s="1" t="n">
        <v>46093</v>
      </c>
      <c r="D76" t="inlineStr">
        <is>
          <t>NORRBOTTENS LÄN</t>
        </is>
      </c>
      <c r="E76" t="inlineStr">
        <is>
          <t>KALIX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35595-2021</t>
        </is>
      </c>
      <c r="B77" s="1" t="n">
        <v>44386</v>
      </c>
      <c r="C77" s="1" t="n">
        <v>46093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54829-2023</t>
        </is>
      </c>
      <c r="B78" s="1" t="n">
        <v>45229</v>
      </c>
      <c r="C78" s="1" t="n">
        <v>46093</v>
      </c>
      <c r="D78" t="inlineStr">
        <is>
          <t>NORRBOTTENS LÄN</t>
        </is>
      </c>
      <c r="E78" t="inlineStr">
        <is>
          <t>KALIX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20114-2025</t>
        </is>
      </c>
      <c r="B79" s="1" t="n">
        <v>45772.48039351852</v>
      </c>
      <c r="C79" s="1" t="n">
        <v>46093</v>
      </c>
      <c r="D79" t="inlineStr">
        <is>
          <t>NORRBOTTENS LÄN</t>
        </is>
      </c>
      <c r="E79" t="inlineStr">
        <is>
          <t>KALIX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3680-2024</t>
        </is>
      </c>
      <c r="B80" s="1" t="n">
        <v>45321.38069444444</v>
      </c>
      <c r="C80" s="1" t="n">
        <v>46093</v>
      </c>
      <c r="D80" t="inlineStr">
        <is>
          <t>NORRBOTTENS LÄN</t>
        </is>
      </c>
      <c r="E80" t="inlineStr">
        <is>
          <t>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31721-2022</t>
        </is>
      </c>
      <c r="B81" s="1" t="n">
        <v>44776.46675925926</v>
      </c>
      <c r="C81" s="1" t="n">
        <v>46093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63593-2021</t>
        </is>
      </c>
      <c r="B82" s="1" t="n">
        <v>44508.92340277778</v>
      </c>
      <c r="C82" s="1" t="n">
        <v>46093</v>
      </c>
      <c r="D82" t="inlineStr">
        <is>
          <t>NORRBOTTENS LÄN</t>
        </is>
      </c>
      <c r="E82" t="inlineStr">
        <is>
          <t>KALIX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58296-2022</t>
        </is>
      </c>
      <c r="B83" s="1" t="n">
        <v>44901</v>
      </c>
      <c r="C83" s="1" t="n">
        <v>46093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49192-2022</t>
        </is>
      </c>
      <c r="B84" s="1" t="n">
        <v>44860.95476851852</v>
      </c>
      <c r="C84" s="1" t="n">
        <v>46093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43188-2022</t>
        </is>
      </c>
      <c r="B85" s="1" t="n">
        <v>44833</v>
      </c>
      <c r="C85" s="1" t="n">
        <v>46093</v>
      </c>
      <c r="D85" t="inlineStr">
        <is>
          <t>NORRBOTTENS LÄN</t>
        </is>
      </c>
      <c r="E85" t="inlineStr">
        <is>
          <t>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38857-2022</t>
        </is>
      </c>
      <c r="B86" s="1" t="n">
        <v>44816</v>
      </c>
      <c r="C86" s="1" t="n">
        <v>46093</v>
      </c>
      <c r="D86" t="inlineStr">
        <is>
          <t>NORRBOTTENS LÄN</t>
        </is>
      </c>
      <c r="E86" t="inlineStr">
        <is>
          <t>KALIX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11112-2023</t>
        </is>
      </c>
      <c r="B87" s="1" t="n">
        <v>44992</v>
      </c>
      <c r="C87" s="1" t="n">
        <v>46093</v>
      </c>
      <c r="D87" t="inlineStr">
        <is>
          <t>NORRBOTTENS LÄN</t>
        </is>
      </c>
      <c r="E87" t="inlineStr">
        <is>
          <t>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46093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62139-2023</t>
        </is>
      </c>
      <c r="B89" s="1" t="n">
        <v>45266</v>
      </c>
      <c r="C89" s="1" t="n">
        <v>46093</v>
      </c>
      <c r="D89" t="inlineStr">
        <is>
          <t>NORRBOTTENS LÄN</t>
        </is>
      </c>
      <c r="E89" t="inlineStr">
        <is>
          <t>KALIX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62150-2023</t>
        </is>
      </c>
      <c r="B90" s="1" t="n">
        <v>45266</v>
      </c>
      <c r="C90" s="1" t="n">
        <v>46093</v>
      </c>
      <c r="D90" t="inlineStr">
        <is>
          <t>NORRBOTTENS LÄN</t>
        </is>
      </c>
      <c r="E90" t="inlineStr">
        <is>
          <t>KALIX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57939-2023</t>
        </is>
      </c>
      <c r="B91" s="1" t="n">
        <v>45247</v>
      </c>
      <c r="C91" s="1" t="n">
        <v>46093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44897-2024</t>
        </is>
      </c>
      <c r="B92" s="1" t="n">
        <v>45575.36655092592</v>
      </c>
      <c r="C92" s="1" t="n">
        <v>46093</v>
      </c>
      <c r="D92" t="inlineStr">
        <is>
          <t>NORRBOTTENS LÄN</t>
        </is>
      </c>
      <c r="E92" t="inlineStr">
        <is>
          <t>KALIX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27050-2021</t>
        </is>
      </c>
      <c r="B93" s="1" t="n">
        <v>44350</v>
      </c>
      <c r="C93" s="1" t="n">
        <v>46093</v>
      </c>
      <c r="D93" t="inlineStr">
        <is>
          <t>NORRBOTTENS LÄN</t>
        </is>
      </c>
      <c r="E93" t="inlineStr">
        <is>
          <t>KALIX</t>
        </is>
      </c>
      <c r="G93" t="n">
        <v>24.1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42040-2021</t>
        </is>
      </c>
      <c r="B94" s="1" t="n">
        <v>44426</v>
      </c>
      <c r="C94" s="1" t="n">
        <v>46093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62154-2023</t>
        </is>
      </c>
      <c r="B95" s="1" t="n">
        <v>45266</v>
      </c>
      <c r="C95" s="1" t="n">
        <v>46093</v>
      </c>
      <c r="D95" t="inlineStr">
        <is>
          <t>NORRBOTTENS LÄN</t>
        </is>
      </c>
      <c r="E95" t="inlineStr">
        <is>
          <t>KALIX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15494-2025</t>
        </is>
      </c>
      <c r="B96" s="1" t="n">
        <v>45747.57925925926</v>
      </c>
      <c r="C96" s="1" t="n">
        <v>46093</v>
      </c>
      <c r="D96" t="inlineStr">
        <is>
          <t>NORRBOTTENS LÄN</t>
        </is>
      </c>
      <c r="E96" t="inlineStr">
        <is>
          <t>KALIX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46765-2023</t>
        </is>
      </c>
      <c r="B97" s="1" t="n">
        <v>45198.62413194445</v>
      </c>
      <c r="C97" s="1" t="n">
        <v>46093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69886-2021</t>
        </is>
      </c>
      <c r="B98" s="1" t="n">
        <v>44532.91938657407</v>
      </c>
      <c r="C98" s="1" t="n">
        <v>46093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24135-2023</t>
        </is>
      </c>
      <c r="B99" s="1" t="n">
        <v>45079</v>
      </c>
      <c r="C99" s="1" t="n">
        <v>46093</v>
      </c>
      <c r="D99" t="inlineStr">
        <is>
          <t>NORRBOTTENS LÄN</t>
        </is>
      </c>
      <c r="E99" t="inlineStr">
        <is>
          <t>KALIX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1267-2023</t>
        </is>
      </c>
      <c r="B100" s="1" t="n">
        <v>44936.40097222223</v>
      </c>
      <c r="C100" s="1" t="n">
        <v>46093</v>
      </c>
      <c r="D100" t="inlineStr">
        <is>
          <t>NORRBOTTENS LÄN</t>
        </is>
      </c>
      <c r="E100" t="inlineStr">
        <is>
          <t>KALIX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33158-2022</t>
        </is>
      </c>
      <c r="B101" s="1" t="n">
        <v>44785</v>
      </c>
      <c r="C101" s="1" t="n">
        <v>46093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3037-2025</t>
        </is>
      </c>
      <c r="B102" s="1" t="n">
        <v>45678.60017361111</v>
      </c>
      <c r="C102" s="1" t="n">
        <v>46093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20116-2025</t>
        </is>
      </c>
      <c r="B103" s="1" t="n">
        <v>45772.4859375</v>
      </c>
      <c r="C103" s="1" t="n">
        <v>46093</v>
      </c>
      <c r="D103" t="inlineStr">
        <is>
          <t>NORRBOTTENS LÄN</t>
        </is>
      </c>
      <c r="E103" t="inlineStr">
        <is>
          <t>KALIX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20120-2025</t>
        </is>
      </c>
      <c r="B104" s="1" t="n">
        <v>45772.48976851852</v>
      </c>
      <c r="C104" s="1" t="n">
        <v>46093</v>
      </c>
      <c r="D104" t="inlineStr">
        <is>
          <t>NORRBOTTENS LÄN</t>
        </is>
      </c>
      <c r="E104" t="inlineStr">
        <is>
          <t>KALIX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46093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23584-2022</t>
        </is>
      </c>
      <c r="B106" s="1" t="n">
        <v>44721</v>
      </c>
      <c r="C106" s="1" t="n">
        <v>46093</v>
      </c>
      <c r="D106" t="inlineStr">
        <is>
          <t>NORRBOTTENS LÄN</t>
        </is>
      </c>
      <c r="E106" t="inlineStr">
        <is>
          <t>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48063-2023</t>
        </is>
      </c>
      <c r="B107" s="1" t="n">
        <v>45204</v>
      </c>
      <c r="C107" s="1" t="n">
        <v>46093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16216-2024</t>
        </is>
      </c>
      <c r="B108" s="1" t="n">
        <v>45406</v>
      </c>
      <c r="C108" s="1" t="n">
        <v>46093</v>
      </c>
      <c r="D108" t="inlineStr">
        <is>
          <t>NORRBOTTENS LÄN</t>
        </is>
      </c>
      <c r="E108" t="inlineStr">
        <is>
          <t>KALIX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67008-2021</t>
        </is>
      </c>
      <c r="B109" s="1" t="n">
        <v>44522.64253472222</v>
      </c>
      <c r="C109" s="1" t="n">
        <v>46093</v>
      </c>
      <c r="D109" t="inlineStr">
        <is>
          <t>NORRBOTTENS LÄN</t>
        </is>
      </c>
      <c r="E109" t="inlineStr">
        <is>
          <t>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41578-2024</t>
        </is>
      </c>
      <c r="B110" s="1" t="n">
        <v>45560.5528125</v>
      </c>
      <c r="C110" s="1" t="n">
        <v>46093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6169-2025</t>
        </is>
      </c>
      <c r="B111" s="1" t="n">
        <v>45698</v>
      </c>
      <c r="C111" s="1" t="n">
        <v>46093</v>
      </c>
      <c r="D111" t="inlineStr">
        <is>
          <t>NORRBOTTENS LÄN</t>
        </is>
      </c>
      <c r="E111" t="inlineStr">
        <is>
          <t>KALIX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27615-2025</t>
        </is>
      </c>
      <c r="B112" s="1" t="n">
        <v>45813.54255787037</v>
      </c>
      <c r="C112" s="1" t="n">
        <v>46093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46093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61720-2023</t>
        </is>
      </c>
      <c r="B114" s="1" t="n">
        <v>45265</v>
      </c>
      <c r="C114" s="1" t="n">
        <v>46093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58274-2024</t>
        </is>
      </c>
      <c r="B115" s="1" t="n">
        <v>45632.57121527778</v>
      </c>
      <c r="C115" s="1" t="n">
        <v>46093</v>
      </c>
      <c r="D115" t="inlineStr">
        <is>
          <t>NORRBOTTENS LÄN</t>
        </is>
      </c>
      <c r="E115" t="inlineStr">
        <is>
          <t>KALIX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44411-2024</t>
        </is>
      </c>
      <c r="B116" s="1" t="n">
        <v>45573</v>
      </c>
      <c r="C116" s="1" t="n">
        <v>46093</v>
      </c>
      <c r="D116" t="inlineStr">
        <is>
          <t>NORRBOTTENS LÄN</t>
        </is>
      </c>
      <c r="E116" t="inlineStr">
        <is>
          <t>KALIX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24265-2024</t>
        </is>
      </c>
      <c r="B117" s="1" t="n">
        <v>45457</v>
      </c>
      <c r="C117" s="1" t="n">
        <v>46093</v>
      </c>
      <c r="D117" t="inlineStr">
        <is>
          <t>NORRBOTTENS LÄN</t>
        </is>
      </c>
      <c r="E117" t="inlineStr">
        <is>
          <t>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20128-2025</t>
        </is>
      </c>
      <c r="B118" s="1" t="n">
        <v>45772.49703703704</v>
      </c>
      <c r="C118" s="1" t="n">
        <v>46093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50761-2024</t>
        </is>
      </c>
      <c r="B119" s="1" t="n">
        <v>45602.43773148148</v>
      </c>
      <c r="C119" s="1" t="n">
        <v>46093</v>
      </c>
      <c r="D119" t="inlineStr">
        <is>
          <t>NORRBOTTENS LÄN</t>
        </is>
      </c>
      <c r="E119" t="inlineStr">
        <is>
          <t>KALIX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59233-2023</t>
        </is>
      </c>
      <c r="B120" s="1" t="n">
        <v>45253</v>
      </c>
      <c r="C120" s="1" t="n">
        <v>46093</v>
      </c>
      <c r="D120" t="inlineStr">
        <is>
          <t>NORRBOTTENS LÄN</t>
        </is>
      </c>
      <c r="E120" t="inlineStr">
        <is>
          <t>KALIX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14207-2024</t>
        </is>
      </c>
      <c r="B121" s="1" t="n">
        <v>45393</v>
      </c>
      <c r="C121" s="1" t="n">
        <v>46093</v>
      </c>
      <c r="D121" t="inlineStr">
        <is>
          <t>NORRBOTTENS LÄN</t>
        </is>
      </c>
      <c r="E121" t="inlineStr">
        <is>
          <t>KALIX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24802-2021</t>
        </is>
      </c>
      <c r="B122" s="1" t="n">
        <v>44340.65699074074</v>
      </c>
      <c r="C122" s="1" t="n">
        <v>46093</v>
      </c>
      <c r="D122" t="inlineStr">
        <is>
          <t>NORRBOTTENS LÄN</t>
        </is>
      </c>
      <c r="E122" t="inlineStr">
        <is>
          <t>KALIX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69202-2021</t>
        </is>
      </c>
      <c r="B123" s="1" t="n">
        <v>44529</v>
      </c>
      <c r="C123" s="1" t="n">
        <v>46093</v>
      </c>
      <c r="D123" t="inlineStr">
        <is>
          <t>NORRBOTTENS LÄN</t>
        </is>
      </c>
      <c r="E123" t="inlineStr">
        <is>
          <t>KALIX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2629-2022</t>
        </is>
      </c>
      <c r="B124" s="1" t="n">
        <v>44580</v>
      </c>
      <c r="C124" s="1" t="n">
        <v>46093</v>
      </c>
      <c r="D124" t="inlineStr">
        <is>
          <t>NORRBOTTENS LÄN</t>
        </is>
      </c>
      <c r="E124" t="inlineStr">
        <is>
          <t>KALIX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58591-2022</t>
        </is>
      </c>
      <c r="B125" s="1" t="n">
        <v>44894</v>
      </c>
      <c r="C125" s="1" t="n">
        <v>46093</v>
      </c>
      <c r="D125" t="inlineStr">
        <is>
          <t>NORRBOTTENS LÄN</t>
        </is>
      </c>
      <c r="E125" t="inlineStr">
        <is>
          <t>KALIX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19975-2025</t>
        </is>
      </c>
      <c r="B126" s="1" t="n">
        <v>45771.69822916666</v>
      </c>
      <c r="C126" s="1" t="n">
        <v>46093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35019-2025</t>
        </is>
      </c>
      <c r="B127" s="1" t="n">
        <v>45851.86467592593</v>
      </c>
      <c r="C127" s="1" t="n">
        <v>46093</v>
      </c>
      <c r="D127" t="inlineStr">
        <is>
          <t>NORRBOTTENS LÄN</t>
        </is>
      </c>
      <c r="E127" t="inlineStr">
        <is>
          <t>KALIX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47066-2024</t>
        </is>
      </c>
      <c r="B128" s="1" t="n">
        <v>45586.47526620371</v>
      </c>
      <c r="C128" s="1" t="n">
        <v>46093</v>
      </c>
      <c r="D128" t="inlineStr">
        <is>
          <t>NORRBOTTENS LÄN</t>
        </is>
      </c>
      <c r="E128" t="inlineStr">
        <is>
          <t>KALIX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67004-2021</t>
        </is>
      </c>
      <c r="B129" s="1" t="n">
        <v>44522.63969907408</v>
      </c>
      <c r="C129" s="1" t="n">
        <v>46093</v>
      </c>
      <c r="D129" t="inlineStr">
        <is>
          <t>NORRBOTTENS LÄN</t>
        </is>
      </c>
      <c r="E129" t="inlineStr">
        <is>
          <t>KALIX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40565-2023</t>
        </is>
      </c>
      <c r="B130" s="1" t="n">
        <v>45170</v>
      </c>
      <c r="C130" s="1" t="n">
        <v>46093</v>
      </c>
      <c r="D130" t="inlineStr">
        <is>
          <t>NORRBOTTENS LÄN</t>
        </is>
      </c>
      <c r="E130" t="inlineStr">
        <is>
          <t>KALIX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55567-2023</t>
        </is>
      </c>
      <c r="B131" s="1" t="n">
        <v>45238.64976851852</v>
      </c>
      <c r="C131" s="1" t="n">
        <v>46093</v>
      </c>
      <c r="D131" t="inlineStr">
        <is>
          <t>NORRBOTTENS LÄN</t>
        </is>
      </c>
      <c r="E131" t="inlineStr">
        <is>
          <t>KALIX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57513-2023</t>
        </is>
      </c>
      <c r="B132" s="1" t="n">
        <v>45243</v>
      </c>
      <c r="C132" s="1" t="n">
        <v>46093</v>
      </c>
      <c r="D132" t="inlineStr">
        <is>
          <t>NORRBOTTENS LÄN</t>
        </is>
      </c>
      <c r="E132" t="inlineStr">
        <is>
          <t>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60955-2022</t>
        </is>
      </c>
      <c r="B133" s="1" t="n">
        <v>44907</v>
      </c>
      <c r="C133" s="1" t="n">
        <v>46093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16732-2025</t>
        </is>
      </c>
      <c r="B134" s="1" t="n">
        <v>45754.53125</v>
      </c>
      <c r="C134" s="1" t="n">
        <v>46093</v>
      </c>
      <c r="D134" t="inlineStr">
        <is>
          <t>NORRBOTTENS LÄN</t>
        </is>
      </c>
      <c r="E134" t="inlineStr">
        <is>
          <t>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40449-2024</t>
        </is>
      </c>
      <c r="B135" s="1" t="n">
        <v>45555.49041666667</v>
      </c>
      <c r="C135" s="1" t="n">
        <v>46093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46955-2024</t>
        </is>
      </c>
      <c r="B136" s="1" t="n">
        <v>45585.88642361111</v>
      </c>
      <c r="C136" s="1" t="n">
        <v>46093</v>
      </c>
      <c r="D136" t="inlineStr">
        <is>
          <t>NORRBOTTENS LÄN</t>
        </is>
      </c>
      <c r="E136" t="inlineStr">
        <is>
          <t>KALIX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59024-2022</t>
        </is>
      </c>
      <c r="B137" s="1" t="n">
        <v>44903</v>
      </c>
      <c r="C137" s="1" t="n">
        <v>46093</v>
      </c>
      <c r="D137" t="inlineStr">
        <is>
          <t>NORRBOTTENS LÄN</t>
        </is>
      </c>
      <c r="E137" t="inlineStr">
        <is>
          <t>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51839-2023</t>
        </is>
      </c>
      <c r="B138" s="1" t="n">
        <v>45215</v>
      </c>
      <c r="C138" s="1" t="n">
        <v>46093</v>
      </c>
      <c r="D138" t="inlineStr">
        <is>
          <t>NORRBOTTENS LÄN</t>
        </is>
      </c>
      <c r="E138" t="inlineStr">
        <is>
          <t>KALIX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51845-2023</t>
        </is>
      </c>
      <c r="B139" s="1" t="n">
        <v>45215</v>
      </c>
      <c r="C139" s="1" t="n">
        <v>46093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26675-2024</t>
        </is>
      </c>
      <c r="B140" s="1" t="n">
        <v>45470.32200231482</v>
      </c>
      <c r="C140" s="1" t="n">
        <v>46093</v>
      </c>
      <c r="D140" t="inlineStr">
        <is>
          <t>NORRBOTTENS LÄN</t>
        </is>
      </c>
      <c r="E140" t="inlineStr">
        <is>
          <t>KALIX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57326-2024</t>
        </is>
      </c>
      <c r="B141" s="1" t="n">
        <v>45629</v>
      </c>
      <c r="C141" s="1" t="n">
        <v>46093</v>
      </c>
      <c r="D141" t="inlineStr">
        <is>
          <t>NORRBOTTENS LÄN</t>
        </is>
      </c>
      <c r="E141" t="inlineStr">
        <is>
          <t>KALIX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262-2025</t>
        </is>
      </c>
      <c r="B142" s="1" t="n">
        <v>45660.45283564815</v>
      </c>
      <c r="C142" s="1" t="n">
        <v>46093</v>
      </c>
      <c r="D142" t="inlineStr">
        <is>
          <t>NORRBOTTENS LÄN</t>
        </is>
      </c>
      <c r="E142" t="inlineStr">
        <is>
          <t>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24889-2025</t>
        </is>
      </c>
      <c r="B143" s="1" t="n">
        <v>45799.51091435185</v>
      </c>
      <c r="C143" s="1" t="n">
        <v>46093</v>
      </c>
      <c r="D143" t="inlineStr">
        <is>
          <t>NORRBOTTENS LÄN</t>
        </is>
      </c>
      <c r="E143" t="inlineStr">
        <is>
          <t>KALIX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39501-2025</t>
        </is>
      </c>
      <c r="B144" s="1" t="n">
        <v>45890.39974537037</v>
      </c>
      <c r="C144" s="1" t="n">
        <v>46093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33582-2025</t>
        </is>
      </c>
      <c r="B145" s="1" t="n">
        <v>45841.59421296296</v>
      </c>
      <c r="C145" s="1" t="n">
        <v>46093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39279-2025</t>
        </is>
      </c>
      <c r="B146" s="1" t="n">
        <v>45889.40050925926</v>
      </c>
      <c r="C146" s="1" t="n">
        <v>46093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50132-2024</t>
        </is>
      </c>
      <c r="B147" s="1" t="n">
        <v>45600.43767361111</v>
      </c>
      <c r="C147" s="1" t="n">
        <v>46093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60488-2023</t>
        </is>
      </c>
      <c r="B148" s="1" t="n">
        <v>45259.6208912037</v>
      </c>
      <c r="C148" s="1" t="n">
        <v>46093</v>
      </c>
      <c r="D148" t="inlineStr">
        <is>
          <t>NORRBOTTENS LÄN</t>
        </is>
      </c>
      <c r="E148" t="inlineStr">
        <is>
          <t>KALIX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39689-2025</t>
        </is>
      </c>
      <c r="B149" s="1" t="n">
        <v>45890.67737268518</v>
      </c>
      <c r="C149" s="1" t="n">
        <v>46093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45218-2023</t>
        </is>
      </c>
      <c r="B150" s="1" t="n">
        <v>45191</v>
      </c>
      <c r="C150" s="1" t="n">
        <v>46093</v>
      </c>
      <c r="D150" t="inlineStr">
        <is>
          <t>NORRBOTTENS LÄN</t>
        </is>
      </c>
      <c r="E150" t="inlineStr">
        <is>
          <t>KALIX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13817-2025</t>
        </is>
      </c>
      <c r="B151" s="1" t="n">
        <v>45737.51363425926</v>
      </c>
      <c r="C151" s="1" t="n">
        <v>46093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62165-2023</t>
        </is>
      </c>
      <c r="B152" s="1" t="n">
        <v>45266</v>
      </c>
      <c r="C152" s="1" t="n">
        <v>46093</v>
      </c>
      <c r="D152" t="inlineStr">
        <is>
          <t>NORRBOTTENS LÄN</t>
        </is>
      </c>
      <c r="E152" t="inlineStr">
        <is>
          <t>KALIX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52459-2024</t>
        </is>
      </c>
      <c r="B153" s="1" t="n">
        <v>45609.51568287037</v>
      </c>
      <c r="C153" s="1" t="n">
        <v>46093</v>
      </c>
      <c r="D153" t="inlineStr">
        <is>
          <t>NORRBOTTENS LÄN</t>
        </is>
      </c>
      <c r="E153" t="inlineStr">
        <is>
          <t>KALIX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18008-2024</t>
        </is>
      </c>
      <c r="B154" s="1" t="n">
        <v>45419.94920138889</v>
      </c>
      <c r="C154" s="1" t="n">
        <v>46093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18012-2024</t>
        </is>
      </c>
      <c r="B155" s="1" t="n">
        <v>45419</v>
      </c>
      <c r="C155" s="1" t="n">
        <v>46093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46093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46093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7713-2025</t>
        </is>
      </c>
      <c r="B158" s="1" t="n">
        <v>45706.42768518518</v>
      </c>
      <c r="C158" s="1" t="n">
        <v>46093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10060-2025</t>
        </is>
      </c>
      <c r="B159" s="1" t="n">
        <v>45719.53412037037</v>
      </c>
      <c r="C159" s="1" t="n">
        <v>46093</v>
      </c>
      <c r="D159" t="inlineStr">
        <is>
          <t>NORRBOTTENS LÄN</t>
        </is>
      </c>
      <c r="E159" t="inlineStr">
        <is>
          <t>KALIX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10065-2025</t>
        </is>
      </c>
      <c r="B160" s="1" t="n">
        <v>45719.54244212963</v>
      </c>
      <c r="C160" s="1" t="n">
        <v>46093</v>
      </c>
      <c r="D160" t="inlineStr">
        <is>
          <t>NORRBOTTENS LÄN</t>
        </is>
      </c>
      <c r="E160" t="inlineStr">
        <is>
          <t>KALIX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41130-2023</t>
        </is>
      </c>
      <c r="B161" s="1" t="n">
        <v>45173</v>
      </c>
      <c r="C161" s="1" t="n">
        <v>46093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659-2024</t>
        </is>
      </c>
      <c r="B162" s="1" t="n">
        <v>45299.93310185185</v>
      </c>
      <c r="C162" s="1" t="n">
        <v>46093</v>
      </c>
      <c r="D162" t="inlineStr">
        <is>
          <t>NORRBOTTENS LÄN</t>
        </is>
      </c>
      <c r="E162" t="inlineStr">
        <is>
          <t>KALIX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35673-2025</t>
        </is>
      </c>
      <c r="B163" s="1" t="n">
        <v>45859.62895833333</v>
      </c>
      <c r="C163" s="1" t="n">
        <v>46093</v>
      </c>
      <c r="D163" t="inlineStr">
        <is>
          <t>NORRBOTTENS LÄN</t>
        </is>
      </c>
      <c r="E163" t="inlineStr">
        <is>
          <t>KALIX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22480-2024</t>
        </is>
      </c>
      <c r="B164" s="1" t="n">
        <v>45446</v>
      </c>
      <c r="C164" s="1" t="n">
        <v>46093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40277-2025</t>
        </is>
      </c>
      <c r="B165" s="1" t="n">
        <v>45895.36069444445</v>
      </c>
      <c r="C165" s="1" t="n">
        <v>46093</v>
      </c>
      <c r="D165" t="inlineStr">
        <is>
          <t>NORRBOTTENS LÄN</t>
        </is>
      </c>
      <c r="E165" t="inlineStr">
        <is>
          <t>KALIX</t>
        </is>
      </c>
      <c r="G165" t="n">
        <v>27.8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35672-2025</t>
        </is>
      </c>
      <c r="B166" s="1" t="n">
        <v>45859.62603009259</v>
      </c>
      <c r="C166" s="1" t="n">
        <v>46093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66739-2021</t>
        </is>
      </c>
      <c r="B167" s="1" t="n">
        <v>44520.84179398148</v>
      </c>
      <c r="C167" s="1" t="n">
        <v>46093</v>
      </c>
      <c r="D167" t="inlineStr">
        <is>
          <t>NORRBOTTENS LÄN</t>
        </is>
      </c>
      <c r="E167" t="inlineStr">
        <is>
          <t>KALIX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13537-2022</t>
        </is>
      </c>
      <c r="B168" s="1" t="n">
        <v>44648.40035879629</v>
      </c>
      <c r="C168" s="1" t="n">
        <v>46093</v>
      </c>
      <c r="D168" t="inlineStr">
        <is>
          <t>NORRBOTTENS LÄN</t>
        </is>
      </c>
      <c r="E168" t="inlineStr">
        <is>
          <t>KALIX</t>
        </is>
      </c>
      <c r="F168" t="inlineStr">
        <is>
          <t>BillerudKorsnäs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26287-2025</t>
        </is>
      </c>
      <c r="B169" s="1" t="n">
        <v>45805.62303240741</v>
      </c>
      <c r="C169" s="1" t="n">
        <v>46093</v>
      </c>
      <c r="D169" t="inlineStr">
        <is>
          <t>NORRBOTTENS LÄN</t>
        </is>
      </c>
      <c r="E169" t="inlineStr">
        <is>
          <t>KALIX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25247-2024</t>
        </is>
      </c>
      <c r="B170" s="1" t="n">
        <v>45462.60603009259</v>
      </c>
      <c r="C170" s="1" t="n">
        <v>46093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50576-2023</t>
        </is>
      </c>
      <c r="B171" s="1" t="n">
        <v>45210</v>
      </c>
      <c r="C171" s="1" t="n">
        <v>46093</v>
      </c>
      <c r="D171" t="inlineStr">
        <is>
          <t>NORRBOTTENS LÄN</t>
        </is>
      </c>
      <c r="E171" t="inlineStr">
        <is>
          <t>KALIX</t>
        </is>
      </c>
      <c r="F171" t="inlineStr">
        <is>
          <t>Kommuner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39003-2023</t>
        </is>
      </c>
      <c r="B172" s="1" t="n">
        <v>45163.6749537037</v>
      </c>
      <c r="C172" s="1" t="n">
        <v>46093</v>
      </c>
      <c r="D172" t="inlineStr">
        <is>
          <t>NORRBOTTENS LÄN</t>
        </is>
      </c>
      <c r="E172" t="inlineStr">
        <is>
          <t>KALIX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11856-2023</t>
        </is>
      </c>
      <c r="B173" s="1" t="n">
        <v>44995</v>
      </c>
      <c r="C173" s="1" t="n">
        <v>46093</v>
      </c>
      <c r="D173" t="inlineStr">
        <is>
          <t>NORRBOTTENS LÄN</t>
        </is>
      </c>
      <c r="E173" t="inlineStr">
        <is>
          <t>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48128-2024</t>
        </is>
      </c>
      <c r="B174" s="1" t="n">
        <v>45589.64586805556</v>
      </c>
      <c r="C174" s="1" t="n">
        <v>46093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40996-2025</t>
        </is>
      </c>
      <c r="B175" s="1" t="n">
        <v>45898.34438657408</v>
      </c>
      <c r="C175" s="1" t="n">
        <v>46093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267-2025</t>
        </is>
      </c>
      <c r="B176" s="1" t="n">
        <v>45660.46960648148</v>
      </c>
      <c r="C176" s="1" t="n">
        <v>46093</v>
      </c>
      <c r="D176" t="inlineStr">
        <is>
          <t>NORRBOTTENS LÄN</t>
        </is>
      </c>
      <c r="E176" t="inlineStr">
        <is>
          <t>KALIX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28958-2024</t>
        </is>
      </c>
      <c r="B177" s="1" t="n">
        <v>45481</v>
      </c>
      <c r="C177" s="1" t="n">
        <v>46093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1262-2025</t>
        </is>
      </c>
      <c r="B178" s="1" t="n">
        <v>45667</v>
      </c>
      <c r="C178" s="1" t="n">
        <v>46093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60481-2023</t>
        </is>
      </c>
      <c r="B179" s="1" t="n">
        <v>45259.60369212963</v>
      </c>
      <c r="C179" s="1" t="n">
        <v>46093</v>
      </c>
      <c r="D179" t="inlineStr">
        <is>
          <t>NORRBOTTENS LÄN</t>
        </is>
      </c>
      <c r="E179" t="inlineStr">
        <is>
          <t>KALIX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51765-2023</t>
        </is>
      </c>
      <c r="B180" s="1" t="n">
        <v>45222.70152777778</v>
      </c>
      <c r="C180" s="1" t="n">
        <v>46093</v>
      </c>
      <c r="D180" t="inlineStr">
        <is>
          <t>NORRBOTTENS LÄN</t>
        </is>
      </c>
      <c r="E180" t="inlineStr">
        <is>
          <t>KALIX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21919-2025</t>
        </is>
      </c>
      <c r="B181" s="1" t="n">
        <v>45784.51063657407</v>
      </c>
      <c r="C181" s="1" t="n">
        <v>46093</v>
      </c>
      <c r="D181" t="inlineStr">
        <is>
          <t>NORRBOTTENS LÄN</t>
        </is>
      </c>
      <c r="E181" t="inlineStr">
        <is>
          <t>KALIX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32243-2025</t>
        </is>
      </c>
      <c r="B182" s="1" t="n">
        <v>45835.61560185185</v>
      </c>
      <c r="C182" s="1" t="n">
        <v>46093</v>
      </c>
      <c r="D182" t="inlineStr">
        <is>
          <t>NORRBOTTENS LÄN</t>
        </is>
      </c>
      <c r="E182" t="inlineStr">
        <is>
          <t>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30162-2025</t>
        </is>
      </c>
      <c r="B183" s="1" t="n">
        <v>45827.32677083334</v>
      </c>
      <c r="C183" s="1" t="n">
        <v>46093</v>
      </c>
      <c r="D183" t="inlineStr">
        <is>
          <t>NORRBOTTENS LÄN</t>
        </is>
      </c>
      <c r="E183" t="inlineStr">
        <is>
          <t>KALIX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45307-2024</t>
        </is>
      </c>
      <c r="B184" s="1" t="n">
        <v>45576.42760416667</v>
      </c>
      <c r="C184" s="1" t="n">
        <v>46093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36100-2025</t>
        </is>
      </c>
      <c r="B185" s="1" t="n">
        <v>45866.526875</v>
      </c>
      <c r="C185" s="1" t="n">
        <v>46093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14.8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41913-2025</t>
        </is>
      </c>
      <c r="B186" s="1" t="n">
        <v>45903.41075231481</v>
      </c>
      <c r="C186" s="1" t="n">
        <v>46093</v>
      </c>
      <c r="D186" t="inlineStr">
        <is>
          <t>NORRBOTTENS LÄN</t>
        </is>
      </c>
      <c r="E186" t="inlineStr">
        <is>
          <t>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57338-2024</t>
        </is>
      </c>
      <c r="B187" s="1" t="n">
        <v>45629</v>
      </c>
      <c r="C187" s="1" t="n">
        <v>46093</v>
      </c>
      <c r="D187" t="inlineStr">
        <is>
          <t>NORRBOTTENS LÄN</t>
        </is>
      </c>
      <c r="E187" t="inlineStr">
        <is>
          <t>KALIX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46093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23968-2021</t>
        </is>
      </c>
      <c r="B189" s="1" t="n">
        <v>44335</v>
      </c>
      <c r="C189" s="1" t="n">
        <v>46093</v>
      </c>
      <c r="D189" t="inlineStr">
        <is>
          <t>NORRBOTTENS LÄN</t>
        </is>
      </c>
      <c r="E189" t="inlineStr">
        <is>
          <t>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46093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59885-2024</t>
        </is>
      </c>
      <c r="B191" s="1" t="n">
        <v>45641.50518518518</v>
      </c>
      <c r="C191" s="1" t="n">
        <v>46093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42142-2025</t>
        </is>
      </c>
      <c r="B192" s="1" t="n">
        <v>45904.36505787037</v>
      </c>
      <c r="C192" s="1" t="n">
        <v>46093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13231-2025</t>
        </is>
      </c>
      <c r="B193" s="1" t="n">
        <v>45735</v>
      </c>
      <c r="C193" s="1" t="n">
        <v>46093</v>
      </c>
      <c r="D193" t="inlineStr">
        <is>
          <t>NORRBOTTENS LÄN</t>
        </is>
      </c>
      <c r="E193" t="inlineStr">
        <is>
          <t>KALIX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68438-2021</t>
        </is>
      </c>
      <c r="B194" s="1" t="n">
        <v>44529</v>
      </c>
      <c r="C194" s="1" t="n">
        <v>46093</v>
      </c>
      <c r="D194" t="inlineStr">
        <is>
          <t>NORRBOTTENS LÄN</t>
        </is>
      </c>
      <c r="E194" t="inlineStr">
        <is>
          <t>KALIX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3169-2025</t>
        </is>
      </c>
      <c r="B195" s="1" t="n">
        <v>45679.36646990741</v>
      </c>
      <c r="C195" s="1" t="n">
        <v>46093</v>
      </c>
      <c r="D195" t="inlineStr">
        <is>
          <t>NORRBOTTENS LÄN</t>
        </is>
      </c>
      <c r="E195" t="inlineStr">
        <is>
          <t>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8287-2025</t>
        </is>
      </c>
      <c r="B196" s="1" t="n">
        <v>45708.57165509259</v>
      </c>
      <c r="C196" s="1" t="n">
        <v>46093</v>
      </c>
      <c r="D196" t="inlineStr">
        <is>
          <t>NORRBOTTENS LÄN</t>
        </is>
      </c>
      <c r="E196" t="inlineStr">
        <is>
          <t>KALIX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8299-2025</t>
        </is>
      </c>
      <c r="B197" s="1" t="n">
        <v>45708.58747685186</v>
      </c>
      <c r="C197" s="1" t="n">
        <v>46093</v>
      </c>
      <c r="D197" t="inlineStr">
        <is>
          <t>NORRBOTTENS LÄN</t>
        </is>
      </c>
      <c r="E197" t="inlineStr">
        <is>
          <t>KALIX</t>
        </is>
      </c>
      <c r="G197" t="n">
        <v>16.2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52710-2022</t>
        </is>
      </c>
      <c r="B198" s="1" t="n">
        <v>44874.95347222222</v>
      </c>
      <c r="C198" s="1" t="n">
        <v>46093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47517-2024</t>
        </is>
      </c>
      <c r="B199" s="1" t="n">
        <v>45587</v>
      </c>
      <c r="C199" s="1" t="n">
        <v>46093</v>
      </c>
      <c r="D199" t="inlineStr">
        <is>
          <t>NORRBOTTENS LÄN</t>
        </is>
      </c>
      <c r="E199" t="inlineStr">
        <is>
          <t>KALIX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42649-2025</t>
        </is>
      </c>
      <c r="B200" s="1" t="n">
        <v>45906.56337962963</v>
      </c>
      <c r="C200" s="1" t="n">
        <v>46093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20362-2023</t>
        </is>
      </c>
      <c r="B201" s="1" t="n">
        <v>45054</v>
      </c>
      <c r="C201" s="1" t="n">
        <v>46093</v>
      </c>
      <c r="D201" t="inlineStr">
        <is>
          <t>NORRBOTTENS LÄN</t>
        </is>
      </c>
      <c r="E201" t="inlineStr">
        <is>
          <t>KALIX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62444-2022</t>
        </is>
      </c>
      <c r="B202" s="1" t="n">
        <v>44924.40385416667</v>
      </c>
      <c r="C202" s="1" t="n">
        <v>46093</v>
      </c>
      <c r="D202" t="inlineStr">
        <is>
          <t>NORRBOTTENS LÄN</t>
        </is>
      </c>
      <c r="E202" t="inlineStr">
        <is>
          <t>KALIX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58575-2022</t>
        </is>
      </c>
      <c r="B203" s="1" t="n">
        <v>44894</v>
      </c>
      <c r="C203" s="1" t="n">
        <v>46093</v>
      </c>
      <c r="D203" t="inlineStr">
        <is>
          <t>NORRBOTTENS LÄN</t>
        </is>
      </c>
      <c r="E203" t="inlineStr">
        <is>
          <t>KALIX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58592-2022</t>
        </is>
      </c>
      <c r="B204" s="1" t="n">
        <v>44894</v>
      </c>
      <c r="C204" s="1" t="n">
        <v>46093</v>
      </c>
      <c r="D204" t="inlineStr">
        <is>
          <t>NORRBOTTENS LÄN</t>
        </is>
      </c>
      <c r="E204" t="inlineStr">
        <is>
          <t>KALIX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62970-2023</t>
        </is>
      </c>
      <c r="B205" s="1" t="n">
        <v>45272.57488425926</v>
      </c>
      <c r="C205" s="1" t="n">
        <v>46093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42974-2025</t>
        </is>
      </c>
      <c r="B206" s="1" t="n">
        <v>45909.42157407408</v>
      </c>
      <c r="C206" s="1" t="n">
        <v>46093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14047-2024</t>
        </is>
      </c>
      <c r="B207" s="1" t="n">
        <v>45392</v>
      </c>
      <c r="C207" s="1" t="n">
        <v>46093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43081-2025</t>
        </is>
      </c>
      <c r="B208" s="1" t="n">
        <v>45909.60957175926</v>
      </c>
      <c r="C208" s="1" t="n">
        <v>46093</v>
      </c>
      <c r="D208" t="inlineStr">
        <is>
          <t>NORRBOTTENS LÄN</t>
        </is>
      </c>
      <c r="E208" t="inlineStr">
        <is>
          <t>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49759-2022</t>
        </is>
      </c>
      <c r="B209" s="1" t="n">
        <v>44862.59858796297</v>
      </c>
      <c r="C209" s="1" t="n">
        <v>46093</v>
      </c>
      <c r="D209" t="inlineStr">
        <is>
          <t>NORRBOTTENS LÄN</t>
        </is>
      </c>
      <c r="E209" t="inlineStr">
        <is>
          <t>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43076-2025</t>
        </is>
      </c>
      <c r="B210" s="1" t="n">
        <v>45909</v>
      </c>
      <c r="C210" s="1" t="n">
        <v>46093</v>
      </c>
      <c r="D210" t="inlineStr">
        <is>
          <t>NORRBOTTENS LÄN</t>
        </is>
      </c>
      <c r="E210" t="inlineStr">
        <is>
          <t>KALIX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59026-2022</t>
        </is>
      </c>
      <c r="B211" s="1" t="n">
        <v>44903.91303240741</v>
      </c>
      <c r="C211" s="1" t="n">
        <v>46093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43191-2025</t>
        </is>
      </c>
      <c r="B212" s="1" t="n">
        <v>45910.41881944444</v>
      </c>
      <c r="C212" s="1" t="n">
        <v>46093</v>
      </c>
      <c r="D212" t="inlineStr">
        <is>
          <t>NORRBOTTENS LÄN</t>
        </is>
      </c>
      <c r="E212" t="inlineStr">
        <is>
          <t>KALIX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36229-2025</t>
        </is>
      </c>
      <c r="B213" s="1" t="n">
        <v>45867.53866898148</v>
      </c>
      <c r="C213" s="1" t="n">
        <v>46093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19976-2025</t>
        </is>
      </c>
      <c r="B214" s="1" t="n">
        <v>45771</v>
      </c>
      <c r="C214" s="1" t="n">
        <v>46093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30814-2023</t>
        </is>
      </c>
      <c r="B215" s="1" t="n">
        <v>45112</v>
      </c>
      <c r="C215" s="1" t="n">
        <v>46093</v>
      </c>
      <c r="D215" t="inlineStr">
        <is>
          <t>NORRBOTTENS LÄN</t>
        </is>
      </c>
      <c r="E215" t="inlineStr">
        <is>
          <t>KALIX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5074-2025</t>
        </is>
      </c>
      <c r="B216" s="1" t="n">
        <v>45691.49449074074</v>
      </c>
      <c r="C216" s="1" t="n">
        <v>46093</v>
      </c>
      <c r="D216" t="inlineStr">
        <is>
          <t>NORRBOTTENS LÄN</t>
        </is>
      </c>
      <c r="E216" t="inlineStr">
        <is>
          <t>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18061-2025</t>
        </is>
      </c>
      <c r="B217" s="1" t="n">
        <v>45761.48025462963</v>
      </c>
      <c r="C217" s="1" t="n">
        <v>46093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43671-2025</t>
        </is>
      </c>
      <c r="B218" s="1" t="n">
        <v>45912.36501157407</v>
      </c>
      <c r="C218" s="1" t="n">
        <v>46093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25239-2024</t>
        </is>
      </c>
      <c r="B219" s="1" t="n">
        <v>45462.6018287037</v>
      </c>
      <c r="C219" s="1" t="n">
        <v>46093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41662-2023</t>
        </is>
      </c>
      <c r="B220" s="1" t="n">
        <v>45175.95799768518</v>
      </c>
      <c r="C220" s="1" t="n">
        <v>46093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44239-2025</t>
        </is>
      </c>
      <c r="B221" s="1" t="n">
        <v>45915.67467592593</v>
      </c>
      <c r="C221" s="1" t="n">
        <v>46093</v>
      </c>
      <c r="D221" t="inlineStr">
        <is>
          <t>NORRBOTTENS LÄN</t>
        </is>
      </c>
      <c r="E221" t="inlineStr">
        <is>
          <t>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2917-2022</t>
        </is>
      </c>
      <c r="B222" s="1" t="n">
        <v>44581</v>
      </c>
      <c r="C222" s="1" t="n">
        <v>46093</v>
      </c>
      <c r="D222" t="inlineStr">
        <is>
          <t>NORRBOTTENS LÄN</t>
        </is>
      </c>
      <c r="E222" t="inlineStr">
        <is>
          <t>KALIX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14100-2025</t>
        </is>
      </c>
      <c r="B223" s="1" t="n">
        <v>45740</v>
      </c>
      <c r="C223" s="1" t="n">
        <v>46093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44246-2025</t>
        </is>
      </c>
      <c r="B224" s="1" t="n">
        <v>45915.6815162037</v>
      </c>
      <c r="C224" s="1" t="n">
        <v>46093</v>
      </c>
      <c r="D224" t="inlineStr">
        <is>
          <t>NORRBOTTENS LÄN</t>
        </is>
      </c>
      <c r="E224" t="inlineStr">
        <is>
          <t>KALIX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4278-2025</t>
        </is>
      </c>
      <c r="B225" s="1" t="n">
        <v>45685.638125</v>
      </c>
      <c r="C225" s="1" t="n">
        <v>46093</v>
      </c>
      <c r="D225" t="inlineStr">
        <is>
          <t>NORRBOTTENS LÄN</t>
        </is>
      </c>
      <c r="E225" t="inlineStr">
        <is>
          <t>KALIX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46752-2024</t>
        </is>
      </c>
      <c r="B226" s="1" t="n">
        <v>45583</v>
      </c>
      <c r="C226" s="1" t="n">
        <v>46093</v>
      </c>
      <c r="D226" t="inlineStr">
        <is>
          <t>NORRBOTTENS LÄN</t>
        </is>
      </c>
      <c r="E226" t="inlineStr">
        <is>
          <t>KALIX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44350-2025</t>
        </is>
      </c>
      <c r="B227" s="1" t="n">
        <v>45916</v>
      </c>
      <c r="C227" s="1" t="n">
        <v>46093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17598-2024</t>
        </is>
      </c>
      <c r="B228" s="1" t="n">
        <v>45415.9425</v>
      </c>
      <c r="C228" s="1" t="n">
        <v>46093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17599-2024</t>
        </is>
      </c>
      <c r="B229" s="1" t="n">
        <v>45415.94267361111</v>
      </c>
      <c r="C229" s="1" t="n">
        <v>46093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58583-2022</t>
        </is>
      </c>
      <c r="B230" s="1" t="n">
        <v>44894</v>
      </c>
      <c r="C230" s="1" t="n">
        <v>46093</v>
      </c>
      <c r="D230" t="inlineStr">
        <is>
          <t>NORRBOTTENS LÄN</t>
        </is>
      </c>
      <c r="E230" t="inlineStr">
        <is>
          <t>KALIX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41576-2024</t>
        </is>
      </c>
      <c r="B231" s="1" t="n">
        <v>45560.55261574074</v>
      </c>
      <c r="C231" s="1" t="n">
        <v>46093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17856-2023</t>
        </is>
      </c>
      <c r="B232" s="1" t="n">
        <v>45037</v>
      </c>
      <c r="C232" s="1" t="n">
        <v>46093</v>
      </c>
      <c r="D232" t="inlineStr">
        <is>
          <t>NORRBOTTENS LÄN</t>
        </is>
      </c>
      <c r="E232" t="inlineStr">
        <is>
          <t>KALIX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32070-2024</t>
        </is>
      </c>
      <c r="B233" s="1" t="n">
        <v>45510.97233796296</v>
      </c>
      <c r="C233" s="1" t="n">
        <v>46093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7236-2022</t>
        </is>
      </c>
      <c r="B234" s="1" t="n">
        <v>44603</v>
      </c>
      <c r="C234" s="1" t="n">
        <v>46093</v>
      </c>
      <c r="D234" t="inlineStr">
        <is>
          <t>NORRBOTTENS LÄN</t>
        </is>
      </c>
      <c r="E234" t="inlineStr">
        <is>
          <t>KALIX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40017-2025</t>
        </is>
      </c>
      <c r="B235" s="1" t="n">
        <v>45894.35148148148</v>
      </c>
      <c r="C235" s="1" t="n">
        <v>46093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17040-2024</t>
        </is>
      </c>
      <c r="B236" s="1" t="n">
        <v>45412.41252314814</v>
      </c>
      <c r="C236" s="1" t="n">
        <v>46093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28946-2022</t>
        </is>
      </c>
      <c r="B237" s="1" t="n">
        <v>44749.6044675926</v>
      </c>
      <c r="C237" s="1" t="n">
        <v>46093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36529-2025</t>
        </is>
      </c>
      <c r="B238" s="1" t="n">
        <v>45869.61163194444</v>
      </c>
      <c r="C238" s="1" t="n">
        <v>46093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7711-2025</t>
        </is>
      </c>
      <c r="B239" s="1" t="n">
        <v>45706</v>
      </c>
      <c r="C239" s="1" t="n">
        <v>46093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7712-2025</t>
        </is>
      </c>
      <c r="B240" s="1" t="n">
        <v>45706.42756944444</v>
      </c>
      <c r="C240" s="1" t="n">
        <v>46093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44748-2025</t>
        </is>
      </c>
      <c r="B241" s="1" t="n">
        <v>45917.67791666667</v>
      </c>
      <c r="C241" s="1" t="n">
        <v>46093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45012-2025</t>
        </is>
      </c>
      <c r="B242" s="1" t="n">
        <v>45918</v>
      </c>
      <c r="C242" s="1" t="n">
        <v>46093</v>
      </c>
      <c r="D242" t="inlineStr">
        <is>
          <t>NORRBOTTENS LÄN</t>
        </is>
      </c>
      <c r="E242" t="inlineStr">
        <is>
          <t>KALIX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40036-2024</t>
        </is>
      </c>
      <c r="B243" s="1" t="n">
        <v>45553.70454861111</v>
      </c>
      <c r="C243" s="1" t="n">
        <v>46093</v>
      </c>
      <c r="D243" t="inlineStr">
        <is>
          <t>NORRBOTTENS LÄN</t>
        </is>
      </c>
      <c r="E243" t="inlineStr">
        <is>
          <t>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36531-2025</t>
        </is>
      </c>
      <c r="B244" s="1" t="n">
        <v>45869.61380787037</v>
      </c>
      <c r="C244" s="1" t="n">
        <v>46093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36535-2025</t>
        </is>
      </c>
      <c r="B245" s="1" t="n">
        <v>45869.61506944444</v>
      </c>
      <c r="C245" s="1" t="n">
        <v>46093</v>
      </c>
      <c r="D245" t="inlineStr">
        <is>
          <t>NORRBOTTENS LÄN</t>
        </is>
      </c>
      <c r="E245" t="inlineStr">
        <is>
          <t>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12041-2025</t>
        </is>
      </c>
      <c r="B246" s="1" t="n">
        <v>45728.65701388889</v>
      </c>
      <c r="C246" s="1" t="n">
        <v>46093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60403-2023</t>
        </is>
      </c>
      <c r="B247" s="1" t="n">
        <v>45259.46042824074</v>
      </c>
      <c r="C247" s="1" t="n">
        <v>46093</v>
      </c>
      <c r="D247" t="inlineStr">
        <is>
          <t>NORRBOTTENS LÄN</t>
        </is>
      </c>
      <c r="E247" t="inlineStr">
        <is>
          <t>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3804-2025</t>
        </is>
      </c>
      <c r="B248" s="1" t="n">
        <v>45681.67023148148</v>
      </c>
      <c r="C248" s="1" t="n">
        <v>46093</v>
      </c>
      <c r="D248" t="inlineStr">
        <is>
          <t>NORRBOTTENS LÄN</t>
        </is>
      </c>
      <c r="E248" t="inlineStr">
        <is>
          <t>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45080-2025</t>
        </is>
      </c>
      <c r="B249" s="1" t="n">
        <v>45919</v>
      </c>
      <c r="C249" s="1" t="n">
        <v>46093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58991-2023</t>
        </is>
      </c>
      <c r="B250" s="1" t="n">
        <v>45225</v>
      </c>
      <c r="C250" s="1" t="n">
        <v>46093</v>
      </c>
      <c r="D250" t="inlineStr">
        <is>
          <t>NORRBOTTENS LÄN</t>
        </is>
      </c>
      <c r="E250" t="inlineStr">
        <is>
          <t>KALIX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36524-2025</t>
        </is>
      </c>
      <c r="B251" s="1" t="n">
        <v>45869.60674768518</v>
      </c>
      <c r="C251" s="1" t="n">
        <v>46093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36517-2025</t>
        </is>
      </c>
      <c r="B252" s="1" t="n">
        <v>45869.59483796296</v>
      </c>
      <c r="C252" s="1" t="n">
        <v>46093</v>
      </c>
      <c r="D252" t="inlineStr">
        <is>
          <t>NORRBOTTENS LÄN</t>
        </is>
      </c>
      <c r="E252" t="inlineStr">
        <is>
          <t>KALIX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36519-2025</t>
        </is>
      </c>
      <c r="B253" s="1" t="n">
        <v>45869.59835648148</v>
      </c>
      <c r="C253" s="1" t="n">
        <v>46093</v>
      </c>
      <c r="D253" t="inlineStr">
        <is>
          <t>NORRBOTTENS LÄN</t>
        </is>
      </c>
      <c r="E253" t="inlineStr">
        <is>
          <t>KALIX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62446-2022</t>
        </is>
      </c>
      <c r="B254" s="1" t="n">
        <v>44924</v>
      </c>
      <c r="C254" s="1" t="n">
        <v>46093</v>
      </c>
      <c r="D254" t="inlineStr">
        <is>
          <t>NORRBOTTENS LÄN</t>
        </is>
      </c>
      <c r="E254" t="inlineStr">
        <is>
          <t>KALIX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49143-2024</t>
        </is>
      </c>
      <c r="B255" s="1" t="n">
        <v>45594.71903935185</v>
      </c>
      <c r="C255" s="1" t="n">
        <v>46093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6822-2025</t>
        </is>
      </c>
      <c r="B256" s="1" t="n">
        <v>45700.71971064815</v>
      </c>
      <c r="C256" s="1" t="n">
        <v>46093</v>
      </c>
      <c r="D256" t="inlineStr">
        <is>
          <t>NORRBOTTENS LÄN</t>
        </is>
      </c>
      <c r="E256" t="inlineStr">
        <is>
          <t>KALIX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60926-2023</t>
        </is>
      </c>
      <c r="B257" s="1" t="n">
        <v>45261.41116898148</v>
      </c>
      <c r="C257" s="1" t="n">
        <v>46093</v>
      </c>
      <c r="D257" t="inlineStr">
        <is>
          <t>NORRBOTTENS LÄN</t>
        </is>
      </c>
      <c r="E257" t="inlineStr">
        <is>
          <t>KALIX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46488-2025</t>
        </is>
      </c>
      <c r="B258" s="1" t="n">
        <v>45925.71914351852</v>
      </c>
      <c r="C258" s="1" t="n">
        <v>46093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59736-2024</t>
        </is>
      </c>
      <c r="B259" s="1" t="n">
        <v>45639.51585648148</v>
      </c>
      <c r="C259" s="1" t="n">
        <v>46093</v>
      </c>
      <c r="D259" t="inlineStr">
        <is>
          <t>NORRBOTTENS LÄN</t>
        </is>
      </c>
      <c r="E259" t="inlineStr">
        <is>
          <t>KALIX</t>
        </is>
      </c>
      <c r="G259" t="n">
        <v>63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6187-2025</t>
        </is>
      </c>
      <c r="B260" s="1" t="n">
        <v>45698.45962962963</v>
      </c>
      <c r="C260" s="1" t="n">
        <v>46093</v>
      </c>
      <c r="D260" t="inlineStr">
        <is>
          <t>NORRBOTTENS LÄN</t>
        </is>
      </c>
      <c r="E260" t="inlineStr">
        <is>
          <t>KALIX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46478-2025</t>
        </is>
      </c>
      <c r="B261" s="1" t="n">
        <v>45925.69836805556</v>
      </c>
      <c r="C261" s="1" t="n">
        <v>46093</v>
      </c>
      <c r="D261" t="inlineStr">
        <is>
          <t>NORRBOTTENS LÄN</t>
        </is>
      </c>
      <c r="E261" t="inlineStr">
        <is>
          <t>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8283-2025</t>
        </is>
      </c>
      <c r="B262" s="1" t="n">
        <v>45708.56344907408</v>
      </c>
      <c r="C262" s="1" t="n">
        <v>46093</v>
      </c>
      <c r="D262" t="inlineStr">
        <is>
          <t>NORRBOTTENS LÄN</t>
        </is>
      </c>
      <c r="E262" t="inlineStr">
        <is>
          <t>KALIX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46665-2025</t>
        </is>
      </c>
      <c r="B263" s="1" t="n">
        <v>45926.50899305556</v>
      </c>
      <c r="C263" s="1" t="n">
        <v>46093</v>
      </c>
      <c r="D263" t="inlineStr">
        <is>
          <t>NORRBOTTENS LÄN</t>
        </is>
      </c>
      <c r="E263" t="inlineStr">
        <is>
          <t>KALIX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8292-2025</t>
        </is>
      </c>
      <c r="B264" s="1" t="n">
        <v>45708.57732638889</v>
      </c>
      <c r="C264" s="1" t="n">
        <v>46093</v>
      </c>
      <c r="D264" t="inlineStr">
        <is>
          <t>NORRBOTTENS LÄN</t>
        </is>
      </c>
      <c r="E264" t="inlineStr">
        <is>
          <t>KALIX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9206-2025</t>
        </is>
      </c>
      <c r="B265" s="1" t="n">
        <v>45714.49189814815</v>
      </c>
      <c r="C265" s="1" t="n">
        <v>46093</v>
      </c>
      <c r="D265" t="inlineStr">
        <is>
          <t>NORRBOTTENS LÄN</t>
        </is>
      </c>
      <c r="E265" t="inlineStr">
        <is>
          <t>KALIX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40515-2023</t>
        </is>
      </c>
      <c r="B266" s="1" t="n">
        <v>45170</v>
      </c>
      <c r="C266" s="1" t="n">
        <v>46093</v>
      </c>
      <c r="D266" t="inlineStr">
        <is>
          <t>NORRBOTTENS LÄN</t>
        </is>
      </c>
      <c r="E266" t="inlineStr">
        <is>
          <t>KALIX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47429-2025</t>
        </is>
      </c>
      <c r="B267" s="1" t="n">
        <v>45930.63586805556</v>
      </c>
      <c r="C267" s="1" t="n">
        <v>46093</v>
      </c>
      <c r="D267" t="inlineStr">
        <is>
          <t>NORRBOTTENS LÄN</t>
        </is>
      </c>
      <c r="E267" t="inlineStr">
        <is>
          <t>KALIX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15796-2025</t>
        </is>
      </c>
      <c r="B268" s="1" t="n">
        <v>45748.64383101852</v>
      </c>
      <c r="C268" s="1" t="n">
        <v>46093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47436-2025</t>
        </is>
      </c>
      <c r="B269" s="1" t="n">
        <v>45930.63688657407</v>
      </c>
      <c r="C269" s="1" t="n">
        <v>46093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60516-2023</t>
        </is>
      </c>
      <c r="B270" s="1" t="n">
        <v>45259.65206018519</v>
      </c>
      <c r="C270" s="1" t="n">
        <v>46093</v>
      </c>
      <c r="D270" t="inlineStr">
        <is>
          <t>NORRBOTTENS LÄN</t>
        </is>
      </c>
      <c r="E270" t="inlineStr">
        <is>
          <t>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46982-2025</t>
        </is>
      </c>
      <c r="B271" s="1" t="n">
        <v>45929.53196759259</v>
      </c>
      <c r="C271" s="1" t="n">
        <v>46093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47375-2025</t>
        </is>
      </c>
      <c r="B272" s="1" t="n">
        <v>45930.59421296296</v>
      </c>
      <c r="C272" s="1" t="n">
        <v>46093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2705-2024</t>
        </is>
      </c>
      <c r="B273" s="1" t="n">
        <v>45314</v>
      </c>
      <c r="C273" s="1" t="n">
        <v>46093</v>
      </c>
      <c r="D273" t="inlineStr">
        <is>
          <t>NORRBOTTENS LÄN</t>
        </is>
      </c>
      <c r="E273" t="inlineStr">
        <is>
          <t>KALIX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6348-2025</t>
        </is>
      </c>
      <c r="B274" s="1" t="n">
        <v>45699.34594907407</v>
      </c>
      <c r="C274" s="1" t="n">
        <v>46093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19536-2024</t>
        </is>
      </c>
      <c r="B275" s="1" t="n">
        <v>45429</v>
      </c>
      <c r="C275" s="1" t="n">
        <v>46093</v>
      </c>
      <c r="D275" t="inlineStr">
        <is>
          <t>NORRBOTTENS LÄN</t>
        </is>
      </c>
      <c r="E275" t="inlineStr">
        <is>
          <t>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47634-2024</t>
        </is>
      </c>
      <c r="B276" s="1" t="n">
        <v>45588.345625</v>
      </c>
      <c r="C276" s="1" t="n">
        <v>46093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47074-2025</t>
        </is>
      </c>
      <c r="B277" s="1" t="n">
        <v>45929.63689814815</v>
      </c>
      <c r="C277" s="1" t="n">
        <v>46093</v>
      </c>
      <c r="D277" t="inlineStr">
        <is>
          <t>NORRBOTTENS LÄN</t>
        </is>
      </c>
      <c r="E277" t="inlineStr">
        <is>
          <t>KALIX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47983-2025</t>
        </is>
      </c>
      <c r="B278" s="1" t="n">
        <v>45932</v>
      </c>
      <c r="C278" s="1" t="n">
        <v>46093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46622-2021</t>
        </is>
      </c>
      <c r="B279" s="1" t="n">
        <v>44445.56966435185</v>
      </c>
      <c r="C279" s="1" t="n">
        <v>46093</v>
      </c>
      <c r="D279" t="inlineStr">
        <is>
          <t>NORRBOTTENS LÄN</t>
        </is>
      </c>
      <c r="E279" t="inlineStr">
        <is>
          <t>KALIX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49889-2023</t>
        </is>
      </c>
      <c r="B280" s="1" t="n">
        <v>45213.65107638889</v>
      </c>
      <c r="C280" s="1" t="n">
        <v>46093</v>
      </c>
      <c r="D280" t="inlineStr">
        <is>
          <t>NORRBOTTENS LÄN</t>
        </is>
      </c>
      <c r="E280" t="inlineStr">
        <is>
          <t>KALIX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47924-2025</t>
        </is>
      </c>
      <c r="B281" s="1" t="n">
        <v>45932.53887731482</v>
      </c>
      <c r="C281" s="1" t="n">
        <v>46093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47713-2025</t>
        </is>
      </c>
      <c r="B282" s="1" t="n">
        <v>45931.61518518518</v>
      </c>
      <c r="C282" s="1" t="n">
        <v>46093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47811-2025</t>
        </is>
      </c>
      <c r="B283" s="1" t="n">
        <v>45932.31650462963</v>
      </c>
      <c r="C283" s="1" t="n">
        <v>46093</v>
      </c>
      <c r="D283" t="inlineStr">
        <is>
          <t>NORRBOTTENS LÄN</t>
        </is>
      </c>
      <c r="E283" t="inlineStr">
        <is>
          <t>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30676-2023</t>
        </is>
      </c>
      <c r="B284" s="1" t="n">
        <v>45112</v>
      </c>
      <c r="C284" s="1" t="n">
        <v>46093</v>
      </c>
      <c r="D284" t="inlineStr">
        <is>
          <t>NORRBOTTENS LÄN</t>
        </is>
      </c>
      <c r="E284" t="inlineStr">
        <is>
          <t>KALIX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47865-2025</t>
        </is>
      </c>
      <c r="B285" s="1" t="n">
        <v>45932.43586805555</v>
      </c>
      <c r="C285" s="1" t="n">
        <v>46093</v>
      </c>
      <c r="D285" t="inlineStr">
        <is>
          <t>NORRBOTTENS LÄN</t>
        </is>
      </c>
      <c r="E285" t="inlineStr">
        <is>
          <t>KALIX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17583-2024</t>
        </is>
      </c>
      <c r="B286" s="1" t="n">
        <v>45415.9237037037</v>
      </c>
      <c r="C286" s="1" t="n">
        <v>46093</v>
      </c>
      <c r="D286" t="inlineStr">
        <is>
          <t>NORRBOTTENS LÄN</t>
        </is>
      </c>
      <c r="E286" t="inlineStr">
        <is>
          <t>KALIX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55539-2024</t>
        </is>
      </c>
      <c r="B287" s="1" t="n">
        <v>45622</v>
      </c>
      <c r="C287" s="1" t="n">
        <v>46093</v>
      </c>
      <c r="D287" t="inlineStr">
        <is>
          <t>NORRBOTTENS LÄN</t>
        </is>
      </c>
      <c r="E287" t="inlineStr">
        <is>
          <t>KALIX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48519-2025</t>
        </is>
      </c>
      <c r="B288" s="1" t="n">
        <v>45936.39701388889</v>
      </c>
      <c r="C288" s="1" t="n">
        <v>46093</v>
      </c>
      <c r="D288" t="inlineStr">
        <is>
          <t>NORRBOTTENS LÄN</t>
        </is>
      </c>
      <c r="E288" t="inlineStr">
        <is>
          <t>KALIX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48384-2025</t>
        </is>
      </c>
      <c r="B289" s="1" t="n">
        <v>45933.83770833333</v>
      </c>
      <c r="C289" s="1" t="n">
        <v>46093</v>
      </c>
      <c r="D289" t="inlineStr">
        <is>
          <t>NORRBOTTENS LÄN</t>
        </is>
      </c>
      <c r="E289" t="inlineStr">
        <is>
          <t>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48521-2025</t>
        </is>
      </c>
      <c r="B290" s="1" t="n">
        <v>45936.39930555555</v>
      </c>
      <c r="C290" s="1" t="n">
        <v>46093</v>
      </c>
      <c r="D290" t="inlineStr">
        <is>
          <t>NORRBOTTENS LÄN</t>
        </is>
      </c>
      <c r="E290" t="inlineStr">
        <is>
          <t>KALIX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48581-2025</t>
        </is>
      </c>
      <c r="B291" s="1" t="n">
        <v>45936.45769675926</v>
      </c>
      <c r="C291" s="1" t="n">
        <v>46093</v>
      </c>
      <c r="D291" t="inlineStr">
        <is>
          <t>NORRBOTTENS LÄN</t>
        </is>
      </c>
      <c r="E291" t="inlineStr">
        <is>
          <t>KALIX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47565-2024</t>
        </is>
      </c>
      <c r="B292" s="1" t="n">
        <v>45587</v>
      </c>
      <c r="C292" s="1" t="n">
        <v>46093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18227-2024</t>
        </is>
      </c>
      <c r="B293" s="1" t="n">
        <v>45420.96472222222</v>
      </c>
      <c r="C293" s="1" t="n">
        <v>46093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48565-2025</t>
        </is>
      </c>
      <c r="B294" s="1" t="n">
        <v>45936.44674768519</v>
      </c>
      <c r="C294" s="1" t="n">
        <v>46093</v>
      </c>
      <c r="D294" t="inlineStr">
        <is>
          <t>NORRBOTTENS LÄN</t>
        </is>
      </c>
      <c r="E294" t="inlineStr">
        <is>
          <t>KALIX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48383-2025</t>
        </is>
      </c>
      <c r="B295" s="1" t="n">
        <v>45933</v>
      </c>
      <c r="C295" s="1" t="n">
        <v>46093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48644-2025</t>
        </is>
      </c>
      <c r="B296" s="1" t="n">
        <v>45936.54344907407</v>
      </c>
      <c r="C296" s="1" t="n">
        <v>46093</v>
      </c>
      <c r="D296" t="inlineStr">
        <is>
          <t>NORRBOTTENS LÄN</t>
        </is>
      </c>
      <c r="E296" t="inlineStr">
        <is>
          <t>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23878-2022</t>
        </is>
      </c>
      <c r="B297" s="1" t="n">
        <v>44722.56104166667</v>
      </c>
      <c r="C297" s="1" t="n">
        <v>46093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10071-2024</t>
        </is>
      </c>
      <c r="B298" s="1" t="n">
        <v>45364.40600694445</v>
      </c>
      <c r="C298" s="1" t="n">
        <v>46093</v>
      </c>
      <c r="D298" t="inlineStr">
        <is>
          <t>NORRBOTTENS LÄN</t>
        </is>
      </c>
      <c r="E298" t="inlineStr">
        <is>
          <t>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285-2024</t>
        </is>
      </c>
      <c r="B299" s="1" t="n">
        <v>45295.41796296297</v>
      </c>
      <c r="C299" s="1" t="n">
        <v>46093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48602-2025</t>
        </is>
      </c>
      <c r="B300" s="1" t="n">
        <v>45936.46914351852</v>
      </c>
      <c r="C300" s="1" t="n">
        <v>46093</v>
      </c>
      <c r="D300" t="inlineStr">
        <is>
          <t>NORRBOTTENS LÄN</t>
        </is>
      </c>
      <c r="E300" t="inlineStr">
        <is>
          <t>KALIX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48642-2025</t>
        </is>
      </c>
      <c r="B301" s="1" t="n">
        <v>45936.53765046296</v>
      </c>
      <c r="C301" s="1" t="n">
        <v>46093</v>
      </c>
      <c r="D301" t="inlineStr">
        <is>
          <t>NORRBOTTENS LÄN</t>
        </is>
      </c>
      <c r="E301" t="inlineStr">
        <is>
          <t>KALIX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48524-2025</t>
        </is>
      </c>
      <c r="B302" s="1" t="n">
        <v>45936.40606481482</v>
      </c>
      <c r="C302" s="1" t="n">
        <v>46093</v>
      </c>
      <c r="D302" t="inlineStr">
        <is>
          <t>NORRBOTTENS LÄN</t>
        </is>
      </c>
      <c r="E302" t="inlineStr">
        <is>
          <t>KALIX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48868-2025</t>
        </is>
      </c>
      <c r="B303" s="1" t="n">
        <v>45937.44954861111</v>
      </c>
      <c r="C303" s="1" t="n">
        <v>46093</v>
      </c>
      <c r="D303" t="inlineStr">
        <is>
          <t>NORRBOTTENS LÄN</t>
        </is>
      </c>
      <c r="E303" t="inlineStr">
        <is>
          <t>KALIX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21638-2022</t>
        </is>
      </c>
      <c r="B304" s="1" t="n">
        <v>44706.92641203704</v>
      </c>
      <c r="C304" s="1" t="n">
        <v>46093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7189-2023</t>
        </is>
      </c>
      <c r="B305" s="1" t="n">
        <v>44970.53221064815</v>
      </c>
      <c r="C305" s="1" t="n">
        <v>46093</v>
      </c>
      <c r="D305" t="inlineStr">
        <is>
          <t>NORRBOTTENS LÄN</t>
        </is>
      </c>
      <c r="E305" t="inlineStr">
        <is>
          <t>KALIX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19311-2023</t>
        </is>
      </c>
      <c r="B306" s="1" t="n">
        <v>45049</v>
      </c>
      <c r="C306" s="1" t="n">
        <v>46093</v>
      </c>
      <c r="D306" t="inlineStr">
        <is>
          <t>NORRBOTTENS LÄN</t>
        </is>
      </c>
      <c r="E306" t="inlineStr">
        <is>
          <t>KALIX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48784-2025</t>
        </is>
      </c>
      <c r="B307" s="1" t="n">
        <v>45937.31103009259</v>
      </c>
      <c r="C307" s="1" t="n">
        <v>46093</v>
      </c>
      <c r="D307" t="inlineStr">
        <is>
          <t>NORRBOTTENS LÄN</t>
        </is>
      </c>
      <c r="E307" t="inlineStr">
        <is>
          <t>KALIX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6463-2023</t>
        </is>
      </c>
      <c r="B308" s="1" t="n">
        <v>44965.94059027778</v>
      </c>
      <c r="C308" s="1" t="n">
        <v>46093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8567-2024</t>
        </is>
      </c>
      <c r="B309" s="1" t="n">
        <v>45355.59298611111</v>
      </c>
      <c r="C309" s="1" t="n">
        <v>46093</v>
      </c>
      <c r="D309" t="inlineStr">
        <is>
          <t>NORRBOTTENS LÄN</t>
        </is>
      </c>
      <c r="E309" t="inlineStr">
        <is>
          <t>KALIX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58765-2023</t>
        </is>
      </c>
      <c r="B310" s="1" t="n">
        <v>45251</v>
      </c>
      <c r="C310" s="1" t="n">
        <v>46093</v>
      </c>
      <c r="D310" t="inlineStr">
        <is>
          <t>NORRBOTTENS LÄN</t>
        </is>
      </c>
      <c r="E310" t="inlineStr">
        <is>
          <t>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19714-2025</t>
        </is>
      </c>
      <c r="B311" s="1" t="n">
        <v>45771.3512962963</v>
      </c>
      <c r="C311" s="1" t="n">
        <v>46093</v>
      </c>
      <c r="D311" t="inlineStr">
        <is>
          <t>NORRBOTTENS LÄN</t>
        </is>
      </c>
      <c r="E311" t="inlineStr">
        <is>
          <t>KALIX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49410-2025</t>
        </is>
      </c>
      <c r="B312" s="1" t="n">
        <v>45938.68094907407</v>
      </c>
      <c r="C312" s="1" t="n">
        <v>46093</v>
      </c>
      <c r="D312" t="inlineStr">
        <is>
          <t>NORRBOTTENS LÄN</t>
        </is>
      </c>
      <c r="E312" t="inlineStr">
        <is>
          <t>KALIX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15819-2025</t>
        </is>
      </c>
      <c r="B313" s="1" t="n">
        <v>45748.68537037037</v>
      </c>
      <c r="C313" s="1" t="n">
        <v>46093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49347-2025</t>
        </is>
      </c>
      <c r="B314" s="1" t="n">
        <v>45938.60688657407</v>
      </c>
      <c r="C314" s="1" t="n">
        <v>46093</v>
      </c>
      <c r="D314" t="inlineStr">
        <is>
          <t>NORRBOTTENS LÄN</t>
        </is>
      </c>
      <c r="E314" t="inlineStr">
        <is>
          <t>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2000-2024</t>
        </is>
      </c>
      <c r="B315" s="1" t="n">
        <v>45308</v>
      </c>
      <c r="C315" s="1" t="n">
        <v>46093</v>
      </c>
      <c r="D315" t="inlineStr">
        <is>
          <t>NORRBOTTENS LÄN</t>
        </is>
      </c>
      <c r="E315" t="inlineStr">
        <is>
          <t>KALIX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49887-2025</t>
        </is>
      </c>
      <c r="B316" s="1" t="n">
        <v>45940.57333333333</v>
      </c>
      <c r="C316" s="1" t="n">
        <v>46093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49662-2025</t>
        </is>
      </c>
      <c r="B317" s="1" t="n">
        <v>45939.63583333333</v>
      </c>
      <c r="C317" s="1" t="n">
        <v>46093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50044-2025</t>
        </is>
      </c>
      <c r="B318" s="1" t="n">
        <v>45943</v>
      </c>
      <c r="C318" s="1" t="n">
        <v>46093</v>
      </c>
      <c r="D318" t="inlineStr">
        <is>
          <t>NORRBOTTENS LÄN</t>
        </is>
      </c>
      <c r="E318" t="inlineStr">
        <is>
          <t>KALIX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50194-2025</t>
        </is>
      </c>
      <c r="B319" s="1" t="n">
        <v>45943.64177083333</v>
      </c>
      <c r="C319" s="1" t="n">
        <v>46093</v>
      </c>
      <c r="D319" t="inlineStr">
        <is>
          <t>NORRBOTTENS LÄN</t>
        </is>
      </c>
      <c r="E319" t="inlineStr">
        <is>
          <t>KALIX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4082-2023</t>
        </is>
      </c>
      <c r="B320" s="1" t="n">
        <v>44950</v>
      </c>
      <c r="C320" s="1" t="n">
        <v>46093</v>
      </c>
      <c r="D320" t="inlineStr">
        <is>
          <t>NORRBOTTENS LÄN</t>
        </is>
      </c>
      <c r="E320" t="inlineStr">
        <is>
          <t>KALIX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50025-2025</t>
        </is>
      </c>
      <c r="B321" s="1" t="n">
        <v>45943.37773148148</v>
      </c>
      <c r="C321" s="1" t="n">
        <v>46093</v>
      </c>
      <c r="D321" t="inlineStr">
        <is>
          <t>NORRBOTTENS LÄN</t>
        </is>
      </c>
      <c r="E321" t="inlineStr">
        <is>
          <t>KALIX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59018-2022</t>
        </is>
      </c>
      <c r="B322" s="1" t="n">
        <v>44903.87568287037</v>
      </c>
      <c r="C322" s="1" t="n">
        <v>46093</v>
      </c>
      <c r="D322" t="inlineStr">
        <is>
          <t>NORRBOTTENS LÄN</t>
        </is>
      </c>
      <c r="E322" t="inlineStr">
        <is>
          <t>KALIX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19155-2023</t>
        </is>
      </c>
      <c r="B323" s="1" t="n">
        <v>45044</v>
      </c>
      <c r="C323" s="1" t="n">
        <v>46093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50211-2025</t>
        </is>
      </c>
      <c r="B324" s="1" t="n">
        <v>45943</v>
      </c>
      <c r="C324" s="1" t="n">
        <v>46093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50414-2025</t>
        </is>
      </c>
      <c r="B325" s="1" t="n">
        <v>45944.64761574074</v>
      </c>
      <c r="C325" s="1" t="n">
        <v>46093</v>
      </c>
      <c r="D325" t="inlineStr">
        <is>
          <t>NORRBOTTENS LÄN</t>
        </is>
      </c>
      <c r="E325" t="inlineStr">
        <is>
          <t>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2553-2025</t>
        </is>
      </c>
      <c r="B326" s="1" t="n">
        <v>45673</v>
      </c>
      <c r="C326" s="1" t="n">
        <v>46093</v>
      </c>
      <c r="D326" t="inlineStr">
        <is>
          <t>NORRBOTTENS LÄN</t>
        </is>
      </c>
      <c r="E326" t="inlineStr">
        <is>
          <t>KALIX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60222-2024</t>
        </is>
      </c>
      <c r="B327" s="1" t="n">
        <v>45642.69934027778</v>
      </c>
      <c r="C327" s="1" t="n">
        <v>46093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50886-2025</t>
        </is>
      </c>
      <c r="B328" s="1" t="n">
        <v>45946.63607638889</v>
      </c>
      <c r="C328" s="1" t="n">
        <v>46093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50899-2025</t>
        </is>
      </c>
      <c r="B329" s="1" t="n">
        <v>45946.641875</v>
      </c>
      <c r="C329" s="1" t="n">
        <v>46093</v>
      </c>
      <c r="D329" t="inlineStr">
        <is>
          <t>NORRBOTTENS LÄN</t>
        </is>
      </c>
      <c r="E329" t="inlineStr">
        <is>
          <t>KALIX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50595-2025</t>
        </is>
      </c>
      <c r="B330" s="1" t="n">
        <v>45945.60736111111</v>
      </c>
      <c r="C330" s="1" t="n">
        <v>46093</v>
      </c>
      <c r="D330" t="inlineStr">
        <is>
          <t>NORRBOTTENS LÄN</t>
        </is>
      </c>
      <c r="E330" t="inlineStr">
        <is>
          <t>KALIX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50605-2025</t>
        </is>
      </c>
      <c r="B331" s="1" t="n">
        <v>45945</v>
      </c>
      <c r="C331" s="1" t="n">
        <v>46093</v>
      </c>
      <c r="D331" t="inlineStr">
        <is>
          <t>NORRBOTTENS LÄN</t>
        </is>
      </c>
      <c r="E331" t="inlineStr">
        <is>
          <t>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50610-2025</t>
        </is>
      </c>
      <c r="B332" s="1" t="n">
        <v>45945.62322916667</v>
      </c>
      <c r="C332" s="1" t="n">
        <v>46093</v>
      </c>
      <c r="D332" t="inlineStr">
        <is>
          <t>NORRBOTTENS LÄN</t>
        </is>
      </c>
      <c r="E332" t="inlineStr">
        <is>
          <t>KALIX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50615-2025</t>
        </is>
      </c>
      <c r="B333" s="1" t="n">
        <v>45945.6286574074</v>
      </c>
      <c r="C333" s="1" t="n">
        <v>46093</v>
      </c>
      <c r="D333" t="inlineStr">
        <is>
          <t>NORRBOTTENS LÄN</t>
        </is>
      </c>
      <c r="E333" t="inlineStr">
        <is>
          <t>KALIX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50888-2025</t>
        </is>
      </c>
      <c r="B334" s="1" t="n">
        <v>45946.6365162037</v>
      </c>
      <c r="C334" s="1" t="n">
        <v>46093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50502-2025</t>
        </is>
      </c>
      <c r="B335" s="1" t="n">
        <v>45945.42207175926</v>
      </c>
      <c r="C335" s="1" t="n">
        <v>46093</v>
      </c>
      <c r="D335" t="inlineStr">
        <is>
          <t>NORRBOTTENS LÄN</t>
        </is>
      </c>
      <c r="E335" t="inlineStr">
        <is>
          <t>KALIX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50495-2025</t>
        </is>
      </c>
      <c r="B336" s="1" t="n">
        <v>45945.40769675926</v>
      </c>
      <c r="C336" s="1" t="n">
        <v>46093</v>
      </c>
      <c r="D336" t="inlineStr">
        <is>
          <t>NORRBOTTENS LÄN</t>
        </is>
      </c>
      <c r="E336" t="inlineStr">
        <is>
          <t>KALIX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47761-2025</t>
        </is>
      </c>
      <c r="B337" s="1" t="n">
        <v>45931</v>
      </c>
      <c r="C337" s="1" t="n">
        <v>46093</v>
      </c>
      <c r="D337" t="inlineStr">
        <is>
          <t>NORRBOTTENS LÄN</t>
        </is>
      </c>
      <c r="E337" t="inlineStr">
        <is>
          <t>KALIX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51486-2025</t>
        </is>
      </c>
      <c r="B338" s="1" t="n">
        <v>45950.62233796297</v>
      </c>
      <c r="C338" s="1" t="n">
        <v>46093</v>
      </c>
      <c r="D338" t="inlineStr">
        <is>
          <t>NORRBOTTENS LÄN</t>
        </is>
      </c>
      <c r="E338" t="inlineStr">
        <is>
          <t>KALIX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64907-2021</t>
        </is>
      </c>
      <c r="B339" s="1" t="n">
        <v>44512</v>
      </c>
      <c r="C339" s="1" t="n">
        <v>46093</v>
      </c>
      <c r="D339" t="inlineStr">
        <is>
          <t>NORRBOTTENS LÄN</t>
        </is>
      </c>
      <c r="E339" t="inlineStr">
        <is>
          <t>KALIX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14404-2023</t>
        </is>
      </c>
      <c r="B340" s="1" t="n">
        <v>45009</v>
      </c>
      <c r="C340" s="1" t="n">
        <v>46093</v>
      </c>
      <c r="D340" t="inlineStr">
        <is>
          <t>NORRBOTTENS LÄN</t>
        </is>
      </c>
      <c r="E340" t="inlineStr">
        <is>
          <t>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51498-2025</t>
        </is>
      </c>
      <c r="B341" s="1" t="n">
        <v>45950</v>
      </c>
      <c r="C341" s="1" t="n">
        <v>46093</v>
      </c>
      <c r="D341" t="inlineStr">
        <is>
          <t>NORRBOTTENS LÄN</t>
        </is>
      </c>
      <c r="E341" t="inlineStr">
        <is>
          <t>KALIX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24273-2024</t>
        </is>
      </c>
      <c r="B342" s="1" t="n">
        <v>45457.43016203704</v>
      </c>
      <c r="C342" s="1" t="n">
        <v>46093</v>
      </c>
      <c r="D342" t="inlineStr">
        <is>
          <t>NORRBOTTENS LÄN</t>
        </is>
      </c>
      <c r="E342" t="inlineStr">
        <is>
          <t>KALIX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51496-2025</t>
        </is>
      </c>
      <c r="B343" s="1" t="n">
        <v>45950</v>
      </c>
      <c r="C343" s="1" t="n">
        <v>46093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51497-2025</t>
        </is>
      </c>
      <c r="B344" s="1" t="n">
        <v>45950</v>
      </c>
      <c r="C344" s="1" t="n">
        <v>46093</v>
      </c>
      <c r="D344" t="inlineStr">
        <is>
          <t>NORRBOTTENS LÄN</t>
        </is>
      </c>
      <c r="E344" t="inlineStr">
        <is>
          <t>KALIX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51477-2025</t>
        </is>
      </c>
      <c r="B345" s="1" t="n">
        <v>45950.61921296296</v>
      </c>
      <c r="C345" s="1" t="n">
        <v>46093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51479-2025</t>
        </is>
      </c>
      <c r="B346" s="1" t="n">
        <v>45950.61949074074</v>
      </c>
      <c r="C346" s="1" t="n">
        <v>46093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42826-2024</t>
        </is>
      </c>
      <c r="B347" s="1" t="n">
        <v>45566</v>
      </c>
      <c r="C347" s="1" t="n">
        <v>46093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51485-2025</t>
        </is>
      </c>
      <c r="B348" s="1" t="n">
        <v>45950</v>
      </c>
      <c r="C348" s="1" t="n">
        <v>46093</v>
      </c>
      <c r="D348" t="inlineStr">
        <is>
          <t>NORRBOTTENS LÄN</t>
        </is>
      </c>
      <c r="E348" t="inlineStr">
        <is>
          <t>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8272-2023</t>
        </is>
      </c>
      <c r="B349" s="1" t="n">
        <v>44974.63518518519</v>
      </c>
      <c r="C349" s="1" t="n">
        <v>46093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52058-2025</t>
        </is>
      </c>
      <c r="B350" s="1" t="n">
        <v>45952.63594907407</v>
      </c>
      <c r="C350" s="1" t="n">
        <v>46093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4405-2023</t>
        </is>
      </c>
      <c r="B351" s="1" t="n">
        <v>44956.36164351852</v>
      </c>
      <c r="C351" s="1" t="n">
        <v>46093</v>
      </c>
      <c r="D351" t="inlineStr">
        <is>
          <t>NORRBOTTENS LÄN</t>
        </is>
      </c>
      <c r="E351" t="inlineStr">
        <is>
          <t>KALIX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51787-2025</t>
        </is>
      </c>
      <c r="B352" s="1" t="n">
        <v>45951.67826388889</v>
      </c>
      <c r="C352" s="1" t="n">
        <v>46093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52008-2025</t>
        </is>
      </c>
      <c r="B353" s="1" t="n">
        <v>45952.59446759259</v>
      </c>
      <c r="C353" s="1" t="n">
        <v>46093</v>
      </c>
      <c r="D353" t="inlineStr">
        <is>
          <t>NORRBOTTENS LÄN</t>
        </is>
      </c>
      <c r="E353" t="inlineStr">
        <is>
          <t>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26843-2025</t>
        </is>
      </c>
      <c r="B354" s="1" t="n">
        <v>45810</v>
      </c>
      <c r="C354" s="1" t="n">
        <v>46093</v>
      </c>
      <c r="D354" t="inlineStr">
        <is>
          <t>NORRBOTTENS LÄN</t>
        </is>
      </c>
      <c r="E354" t="inlineStr">
        <is>
          <t>KALIX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7184-2023</t>
        </is>
      </c>
      <c r="B355" s="1" t="n">
        <v>44970.52166666667</v>
      </c>
      <c r="C355" s="1" t="n">
        <v>46093</v>
      </c>
      <c r="D355" t="inlineStr">
        <is>
          <t>NORRBOTTENS LÄN</t>
        </is>
      </c>
      <c r="E355" t="inlineStr">
        <is>
          <t>KALIX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7196-2023</t>
        </is>
      </c>
      <c r="B356" s="1" t="n">
        <v>44970.54061342592</v>
      </c>
      <c r="C356" s="1" t="n">
        <v>46093</v>
      </c>
      <c r="D356" t="inlineStr">
        <is>
          <t>NORRBOTTENS LÄN</t>
        </is>
      </c>
      <c r="E356" t="inlineStr">
        <is>
          <t>KALIX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8277-2023</t>
        </is>
      </c>
      <c r="B357" s="1" t="n">
        <v>44974.63965277778</v>
      </c>
      <c r="C357" s="1" t="n">
        <v>46093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17435-2023</t>
        </is>
      </c>
      <c r="B358" s="1" t="n">
        <v>45035.92694444444</v>
      </c>
      <c r="C358" s="1" t="n">
        <v>46093</v>
      </c>
      <c r="D358" t="inlineStr">
        <is>
          <t>NORRBOTTENS LÄN</t>
        </is>
      </c>
      <c r="E358" t="inlineStr">
        <is>
          <t>KALIX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60964-2024</t>
        </is>
      </c>
      <c r="B359" s="1" t="n">
        <v>45645.39828703704</v>
      </c>
      <c r="C359" s="1" t="n">
        <v>46093</v>
      </c>
      <c r="D359" t="inlineStr">
        <is>
          <t>NORRBOTTENS LÄN</t>
        </is>
      </c>
      <c r="E359" t="inlineStr">
        <is>
          <t>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57117-2024</t>
        </is>
      </c>
      <c r="B360" s="1" t="n">
        <v>45629</v>
      </c>
      <c r="C360" s="1" t="n">
        <v>46093</v>
      </c>
      <c r="D360" t="inlineStr">
        <is>
          <t>NORRBOTTENS LÄN</t>
        </is>
      </c>
      <c r="E360" t="inlineStr">
        <is>
          <t>KALIX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35674-2025</t>
        </is>
      </c>
      <c r="B361" s="1" t="n">
        <v>45859.6357175926</v>
      </c>
      <c r="C361" s="1" t="n">
        <v>46093</v>
      </c>
      <c r="D361" t="inlineStr">
        <is>
          <t>NORRBOTTENS LÄN</t>
        </is>
      </c>
      <c r="E361" t="inlineStr">
        <is>
          <t>KALIX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25019-2024</t>
        </is>
      </c>
      <c r="B362" s="1" t="n">
        <v>45461</v>
      </c>
      <c r="C362" s="1" t="n">
        <v>46093</v>
      </c>
      <c r="D362" t="inlineStr">
        <is>
          <t>NORRBOTTENS LÄN</t>
        </is>
      </c>
      <c r="E362" t="inlineStr">
        <is>
          <t>KALIX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44711-2024</t>
        </is>
      </c>
      <c r="B363" s="1" t="n">
        <v>45574</v>
      </c>
      <c r="C363" s="1" t="n">
        <v>46093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64939-2023</t>
        </is>
      </c>
      <c r="B364" s="1" t="n">
        <v>45282</v>
      </c>
      <c r="C364" s="1" t="n">
        <v>46093</v>
      </c>
      <c r="D364" t="inlineStr">
        <is>
          <t>NORRBOTTENS LÄN</t>
        </is>
      </c>
      <c r="E364" t="inlineStr">
        <is>
          <t>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57332-2024</t>
        </is>
      </c>
      <c r="B365" s="1" t="n">
        <v>45629</v>
      </c>
      <c r="C365" s="1" t="n">
        <v>46093</v>
      </c>
      <c r="D365" t="inlineStr">
        <is>
          <t>NORRBOTTENS LÄN</t>
        </is>
      </c>
      <c r="E365" t="inlineStr">
        <is>
          <t>KALIX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47853-2023</t>
        </is>
      </c>
      <c r="B366" s="1" t="n">
        <v>45204.41158564815</v>
      </c>
      <c r="C366" s="1" t="n">
        <v>46093</v>
      </c>
      <c r="D366" t="inlineStr">
        <is>
          <t>NORRBOTTENS LÄN</t>
        </is>
      </c>
      <c r="E366" t="inlineStr">
        <is>
          <t>KALIX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37910-2025</t>
        </is>
      </c>
      <c r="B367" s="1" t="n">
        <v>45881.57375</v>
      </c>
      <c r="C367" s="1" t="n">
        <v>46093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37918-2025</t>
        </is>
      </c>
      <c r="B368" s="1" t="n">
        <v>45881.57458333333</v>
      </c>
      <c r="C368" s="1" t="n">
        <v>46093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9974-2025</t>
        </is>
      </c>
      <c r="B369" s="1" t="n">
        <v>45719.39393518519</v>
      </c>
      <c r="C369" s="1" t="n">
        <v>46093</v>
      </c>
      <c r="D369" t="inlineStr">
        <is>
          <t>NORRBOTTENS LÄN</t>
        </is>
      </c>
      <c r="E369" t="inlineStr">
        <is>
          <t>KALIX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37913-2025</t>
        </is>
      </c>
      <c r="B370" s="1" t="n">
        <v>45881.5740162037</v>
      </c>
      <c r="C370" s="1" t="n">
        <v>46093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37915-2025</t>
        </is>
      </c>
      <c r="B371" s="1" t="n">
        <v>45881.57421296297</v>
      </c>
      <c r="C371" s="1" t="n">
        <v>46093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3799-2025</t>
        </is>
      </c>
      <c r="B372" s="1" t="n">
        <v>45681.65606481482</v>
      </c>
      <c r="C372" s="1" t="n">
        <v>46093</v>
      </c>
      <c r="D372" t="inlineStr">
        <is>
          <t>NORRBOTTENS LÄN</t>
        </is>
      </c>
      <c r="E372" t="inlineStr">
        <is>
          <t>KALIX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33605-2025</t>
        </is>
      </c>
      <c r="B373" s="1" t="n">
        <v>45841.61493055556</v>
      </c>
      <c r="C373" s="1" t="n">
        <v>46093</v>
      </c>
      <c r="D373" t="inlineStr">
        <is>
          <t>NORRBOTTENS LÄN</t>
        </is>
      </c>
      <c r="E373" t="inlineStr">
        <is>
          <t>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50115-2024</t>
        </is>
      </c>
      <c r="B374" s="1" t="n">
        <v>45600.41362268518</v>
      </c>
      <c r="C374" s="1" t="n">
        <v>46093</v>
      </c>
      <c r="D374" t="inlineStr">
        <is>
          <t>NORRBOTTENS LÄN</t>
        </is>
      </c>
      <c r="E374" t="inlineStr">
        <is>
          <t>KALIX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10959-2025</t>
        </is>
      </c>
      <c r="B375" s="1" t="n">
        <v>45723.36494212963</v>
      </c>
      <c r="C375" s="1" t="n">
        <v>46093</v>
      </c>
      <c r="D375" t="inlineStr">
        <is>
          <t>NORRBOTTENS LÄN</t>
        </is>
      </c>
      <c r="E375" t="inlineStr">
        <is>
          <t>KALIX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21639-2022</t>
        </is>
      </c>
      <c r="B376" s="1" t="n">
        <v>44706.92644675926</v>
      </c>
      <c r="C376" s="1" t="n">
        <v>46093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37923-2025</t>
        </is>
      </c>
      <c r="B377" s="1" t="n">
        <v>45881.57527777777</v>
      </c>
      <c r="C377" s="1" t="n">
        <v>46093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21640-2022</t>
        </is>
      </c>
      <c r="B378" s="1" t="n">
        <v>44706.92648148148</v>
      </c>
      <c r="C378" s="1" t="n">
        <v>46093</v>
      </c>
      <c r="D378" t="inlineStr">
        <is>
          <t>NORRBOTTENS LÄN</t>
        </is>
      </c>
      <c r="E378" t="inlineStr">
        <is>
          <t>KALIX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6240-2023</t>
        </is>
      </c>
      <c r="B379" s="1" t="n">
        <v>44964.94399305555</v>
      </c>
      <c r="C379" s="1" t="n">
        <v>46093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1233-2024</t>
        </is>
      </c>
      <c r="B380" s="1" t="n">
        <v>45302.70443287037</v>
      </c>
      <c r="C380" s="1" t="n">
        <v>46093</v>
      </c>
      <c r="D380" t="inlineStr">
        <is>
          <t>NORRBOTTENS LÄN</t>
        </is>
      </c>
      <c r="E380" t="inlineStr">
        <is>
          <t>KALIX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37909-2025</t>
        </is>
      </c>
      <c r="B381" s="1" t="n">
        <v>45881.57342592593</v>
      </c>
      <c r="C381" s="1" t="n">
        <v>46093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37914-2025</t>
        </is>
      </c>
      <c r="B382" s="1" t="n">
        <v>45881.57408564815</v>
      </c>
      <c r="C382" s="1" t="n">
        <v>46093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HYPERLINK("https://klasma.github.io/Logging_2514/knärot/A 37914-2025 karta knärot.png", "A 37914-2025")</f>
        <v/>
      </c>
      <c r="V382">
        <f>HYPERLINK("https://klasma.github.io/Logging_2514/klagomål/A 37914-2025 FSC-klagomål.docx", "A 37914-2025")</f>
        <v/>
      </c>
      <c r="W382">
        <f>HYPERLINK("https://klasma.github.io/Logging_2514/klagomålsmail/A 37914-2025 FSC-klagomål mail.docx", "A 37914-2025")</f>
        <v/>
      </c>
      <c r="X382">
        <f>HYPERLINK("https://klasma.github.io/Logging_2514/tillsyn/A 37914-2025 tillsynsbegäran.docx", "A 37914-2025")</f>
        <v/>
      </c>
      <c r="Y382">
        <f>HYPERLINK("https://klasma.github.io/Logging_2514/tillsynsmail/A 37914-2025 tillsynsbegäran mail.docx", "A 37914-2025")</f>
        <v/>
      </c>
    </row>
    <row r="383" ht="15" customHeight="1">
      <c r="A383" t="inlineStr">
        <is>
          <t>A 62135-2023</t>
        </is>
      </c>
      <c r="B383" s="1" t="n">
        <v>45266</v>
      </c>
      <c r="C383" s="1" t="n">
        <v>46093</v>
      </c>
      <c r="D383" t="inlineStr">
        <is>
          <t>NORRBOTTENS LÄN</t>
        </is>
      </c>
      <c r="E383" t="inlineStr">
        <is>
          <t>KALIX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62143-2023</t>
        </is>
      </c>
      <c r="B384" s="1" t="n">
        <v>45266</v>
      </c>
      <c r="C384" s="1" t="n">
        <v>46093</v>
      </c>
      <c r="D384" t="inlineStr">
        <is>
          <t>NORRBOTTENS LÄN</t>
        </is>
      </c>
      <c r="E384" t="inlineStr">
        <is>
          <t>KALIX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62148-2023</t>
        </is>
      </c>
      <c r="B385" s="1" t="n">
        <v>45266</v>
      </c>
      <c r="C385" s="1" t="n">
        <v>46093</v>
      </c>
      <c r="D385" t="inlineStr">
        <is>
          <t>NORRBOTTENS LÄN</t>
        </is>
      </c>
      <c r="E385" t="inlineStr">
        <is>
          <t>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35840-2023</t>
        </is>
      </c>
      <c r="B386" s="1" t="n">
        <v>45147</v>
      </c>
      <c r="C386" s="1" t="n">
        <v>46093</v>
      </c>
      <c r="D386" t="inlineStr">
        <is>
          <t>NORRBOTTENS LÄN</t>
        </is>
      </c>
      <c r="E386" t="inlineStr">
        <is>
          <t>KALIX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22180-2022</t>
        </is>
      </c>
      <c r="B387" s="1" t="n">
        <v>44712</v>
      </c>
      <c r="C387" s="1" t="n">
        <v>46093</v>
      </c>
      <c r="D387" t="inlineStr">
        <is>
          <t>NORRBOTTENS LÄN</t>
        </is>
      </c>
      <c r="E387" t="inlineStr">
        <is>
          <t>KALIX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40032-2024</t>
        </is>
      </c>
      <c r="B388" s="1" t="n">
        <v>45553</v>
      </c>
      <c r="C388" s="1" t="n">
        <v>46093</v>
      </c>
      <c r="D388" t="inlineStr">
        <is>
          <t>NORRBOTTENS LÄN</t>
        </is>
      </c>
      <c r="E388" t="inlineStr">
        <is>
          <t>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46093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HYPERLINK("https://klasma.github.io/Logging_2514/knärot/A 37911-2025 karta knärot.png", "A 37911-2025")</f>
        <v/>
      </c>
      <c r="V389">
        <f>HYPERLINK("https://klasma.github.io/Logging_2514/klagomål/A 37911-2025 FSC-klagomål.docx", "A 37911-2025")</f>
        <v/>
      </c>
      <c r="W389">
        <f>HYPERLINK("https://klasma.github.io/Logging_2514/klagomålsmail/A 37911-2025 FSC-klagomål mail.docx", "A 37911-2025")</f>
        <v/>
      </c>
      <c r="X389">
        <f>HYPERLINK("https://klasma.github.io/Logging_2514/tillsyn/A 37911-2025 tillsynsbegäran.docx", "A 37911-2025")</f>
        <v/>
      </c>
      <c r="Y389">
        <f>HYPERLINK("https://klasma.github.io/Logging_2514/tillsynsmail/A 37911-2025 tillsynsbegäran mail.docx", "A 37911-2025")</f>
        <v/>
      </c>
    </row>
    <row r="390" ht="15" customHeight="1">
      <c r="A390" t="inlineStr">
        <is>
          <t>A 54202-2025</t>
        </is>
      </c>
      <c r="B390" s="1" t="n">
        <v>45964</v>
      </c>
      <c r="C390" s="1" t="n">
        <v>46093</v>
      </c>
      <c r="D390" t="inlineStr">
        <is>
          <t>NORRBOTTENS LÄN</t>
        </is>
      </c>
      <c r="E390" t="inlineStr">
        <is>
          <t>KALIX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59021-2022</t>
        </is>
      </c>
      <c r="B391" s="1" t="n">
        <v>44903.88601851852</v>
      </c>
      <c r="C391" s="1" t="n">
        <v>46093</v>
      </c>
      <c r="D391" t="inlineStr">
        <is>
          <t>NORRBOTTENS LÄN</t>
        </is>
      </c>
      <c r="E391" t="inlineStr">
        <is>
          <t>KALIX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9344-2023</t>
        </is>
      </c>
      <c r="B392" s="1" t="n">
        <v>44980</v>
      </c>
      <c r="C392" s="1" t="n">
        <v>46093</v>
      </c>
      <c r="D392" t="inlineStr">
        <is>
          <t>NORRBOTTENS LÄN</t>
        </is>
      </c>
      <c r="E392" t="inlineStr">
        <is>
          <t>KALIX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54156-2025</t>
        </is>
      </c>
      <c r="B393" s="1" t="n">
        <v>45964.49586805556</v>
      </c>
      <c r="C393" s="1" t="n">
        <v>46093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37924-2025</t>
        </is>
      </c>
      <c r="B394" s="1" t="n">
        <v>45881.57532407407</v>
      </c>
      <c r="C394" s="1" t="n">
        <v>46093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30567-2024</t>
        </is>
      </c>
      <c r="B395" s="1" t="n">
        <v>45492</v>
      </c>
      <c r="C395" s="1" t="n">
        <v>46093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54377-2025</t>
        </is>
      </c>
      <c r="B396" s="1" t="n">
        <v>45965.42752314815</v>
      </c>
      <c r="C396" s="1" t="n">
        <v>46093</v>
      </c>
      <c r="D396" t="inlineStr">
        <is>
          <t>NORRBOTTENS LÄN</t>
        </is>
      </c>
      <c r="E396" t="inlineStr">
        <is>
          <t>KALIX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54378-2025</t>
        </is>
      </c>
      <c r="B397" s="1" t="n">
        <v>45965.42761574074</v>
      </c>
      <c r="C397" s="1" t="n">
        <v>46093</v>
      </c>
      <c r="D397" t="inlineStr">
        <is>
          <t>NORRBOTTENS LÄN</t>
        </is>
      </c>
      <c r="E397" t="inlineStr">
        <is>
          <t>KALIX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54419-2025</t>
        </is>
      </c>
      <c r="B398" s="1" t="n">
        <v>45965.48136574074</v>
      </c>
      <c r="C398" s="1" t="n">
        <v>46093</v>
      </c>
      <c r="D398" t="inlineStr">
        <is>
          <t>NORRBOTTENS LÄN</t>
        </is>
      </c>
      <c r="E398" t="inlineStr">
        <is>
          <t>KALIX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55162-2025</t>
        </is>
      </c>
      <c r="B399" s="1" t="n">
        <v>45968.47590277778</v>
      </c>
      <c r="C399" s="1" t="n">
        <v>46093</v>
      </c>
      <c r="D399" t="inlineStr">
        <is>
          <t>NORRBOTTENS LÄN</t>
        </is>
      </c>
      <c r="E399" t="inlineStr">
        <is>
          <t>KALIX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9207-2025</t>
        </is>
      </c>
      <c r="B400" s="1" t="n">
        <v>45714.49681712963</v>
      </c>
      <c r="C400" s="1" t="n">
        <v>46093</v>
      </c>
      <c r="D400" t="inlineStr">
        <is>
          <t>NORRBOTTENS LÄN</t>
        </is>
      </c>
      <c r="E400" t="inlineStr">
        <is>
          <t>KALIX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55153-2025</t>
        </is>
      </c>
      <c r="B401" s="1" t="n">
        <v>45968.46083333333</v>
      </c>
      <c r="C401" s="1" t="n">
        <v>46093</v>
      </c>
      <c r="D401" t="inlineStr">
        <is>
          <t>NORRBOTTENS LÄN</t>
        </is>
      </c>
      <c r="E401" t="inlineStr">
        <is>
          <t>KALIX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54902-2025</t>
        </is>
      </c>
      <c r="B402" s="1" t="n">
        <v>45967.36601851852</v>
      </c>
      <c r="C402" s="1" t="n">
        <v>46093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42009-2024</t>
        </is>
      </c>
      <c r="B403" s="1" t="n">
        <v>45561.69032407407</v>
      </c>
      <c r="C403" s="1" t="n">
        <v>46093</v>
      </c>
      <c r="D403" t="inlineStr">
        <is>
          <t>NORRBOTTENS LÄN</t>
        </is>
      </c>
      <c r="E403" t="inlineStr">
        <is>
          <t>KALIX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55391-2025</t>
        </is>
      </c>
      <c r="B404" s="1" t="n">
        <v>45971.44833333333</v>
      </c>
      <c r="C404" s="1" t="n">
        <v>46093</v>
      </c>
      <c r="D404" t="inlineStr">
        <is>
          <t>NORRBOTTENS LÄN</t>
        </is>
      </c>
      <c r="E404" t="inlineStr">
        <is>
          <t>KALIX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18010-2024</t>
        </is>
      </c>
      <c r="B405" s="1" t="n">
        <v>45419.949375</v>
      </c>
      <c r="C405" s="1" t="n">
        <v>46093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55396-2025</t>
        </is>
      </c>
      <c r="B406" s="1" t="n">
        <v>45971.44854166666</v>
      </c>
      <c r="C406" s="1" t="n">
        <v>46093</v>
      </c>
      <c r="D406" t="inlineStr">
        <is>
          <t>NORRBOTTENS LÄN</t>
        </is>
      </c>
      <c r="E406" t="inlineStr">
        <is>
          <t>KALIX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34370-2021</t>
        </is>
      </c>
      <c r="B407" s="1" t="n">
        <v>44379</v>
      </c>
      <c r="C407" s="1" t="n">
        <v>46093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15818-2025</t>
        </is>
      </c>
      <c r="B408" s="1" t="n">
        <v>45748.68107638889</v>
      </c>
      <c r="C408" s="1" t="n">
        <v>46093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55415-2025</t>
        </is>
      </c>
      <c r="B409" s="1" t="n">
        <v>45971.46945601852</v>
      </c>
      <c r="C409" s="1" t="n">
        <v>46093</v>
      </c>
      <c r="D409" t="inlineStr">
        <is>
          <t>NORRBOTTENS LÄN</t>
        </is>
      </c>
      <c r="E409" t="inlineStr">
        <is>
          <t>KALIX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55414-2025</t>
        </is>
      </c>
      <c r="B410" s="1" t="n">
        <v>45971.46922453704</v>
      </c>
      <c r="C410" s="1" t="n">
        <v>46093</v>
      </c>
      <c r="D410" t="inlineStr">
        <is>
          <t>NORRBOTTENS LÄN</t>
        </is>
      </c>
      <c r="E410" t="inlineStr">
        <is>
          <t>KALIX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64333-2023</t>
        </is>
      </c>
      <c r="B411" s="1" t="n">
        <v>45280</v>
      </c>
      <c r="C411" s="1" t="n">
        <v>46093</v>
      </c>
      <c r="D411" t="inlineStr">
        <is>
          <t>NORRBOTTENS LÄN</t>
        </is>
      </c>
      <c r="E411" t="inlineStr">
        <is>
          <t>KALIX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3792-2025</t>
        </is>
      </c>
      <c r="B412" s="1" t="n">
        <v>45681.6428125</v>
      </c>
      <c r="C412" s="1" t="n">
        <v>46093</v>
      </c>
      <c r="D412" t="inlineStr">
        <is>
          <t>NORRBOTTENS LÄN</t>
        </is>
      </c>
      <c r="E412" t="inlineStr">
        <is>
          <t>KALIX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3797-2025</t>
        </is>
      </c>
      <c r="B413" s="1" t="n">
        <v>45681.65133101852</v>
      </c>
      <c r="C413" s="1" t="n">
        <v>46093</v>
      </c>
      <c r="D413" t="inlineStr">
        <is>
          <t>NORRBOTTENS LÄN</t>
        </is>
      </c>
      <c r="E413" t="inlineStr">
        <is>
          <t>KALIX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3801-2025</t>
        </is>
      </c>
      <c r="B414" s="1" t="n">
        <v>45681.66283564815</v>
      </c>
      <c r="C414" s="1" t="n">
        <v>46093</v>
      </c>
      <c r="D414" t="inlineStr">
        <is>
          <t>NORRBOTTENS LÄN</t>
        </is>
      </c>
      <c r="E414" t="inlineStr">
        <is>
          <t>KALIX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46093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21589-2023</t>
        </is>
      </c>
      <c r="B416" s="1" t="n">
        <v>45063</v>
      </c>
      <c r="C416" s="1" t="n">
        <v>46093</v>
      </c>
      <c r="D416" t="inlineStr">
        <is>
          <t>NORRBOTTENS LÄN</t>
        </is>
      </c>
      <c r="E416" t="inlineStr">
        <is>
          <t>KALIX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34210-2021</t>
        </is>
      </c>
      <c r="B417" s="1" t="n">
        <v>44379</v>
      </c>
      <c r="C417" s="1" t="n">
        <v>46093</v>
      </c>
      <c r="D417" t="inlineStr">
        <is>
          <t>NORRBOTTENS LÄN</t>
        </is>
      </c>
      <c r="E417" t="inlineStr">
        <is>
          <t>KALIX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13234-2025</t>
        </is>
      </c>
      <c r="B418" s="1" t="n">
        <v>45735</v>
      </c>
      <c r="C418" s="1" t="n">
        <v>46093</v>
      </c>
      <c r="D418" t="inlineStr">
        <is>
          <t>NORRBOTTENS LÄN</t>
        </is>
      </c>
      <c r="E418" t="inlineStr">
        <is>
          <t>KALIX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33080-2025</t>
        </is>
      </c>
      <c r="B419" s="1" t="n">
        <v>45840</v>
      </c>
      <c r="C419" s="1" t="n">
        <v>46093</v>
      </c>
      <c r="D419" t="inlineStr">
        <is>
          <t>NORRBOTTENS LÄN</t>
        </is>
      </c>
      <c r="E419" t="inlineStr">
        <is>
          <t>KALIX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27776-2025</t>
        </is>
      </c>
      <c r="B420" s="1" t="n">
        <v>45816</v>
      </c>
      <c r="C420" s="1" t="n">
        <v>46093</v>
      </c>
      <c r="D420" t="inlineStr">
        <is>
          <t>NORRBOTTENS LÄN</t>
        </is>
      </c>
      <c r="E420" t="inlineStr">
        <is>
          <t>KALIX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46196-2023</t>
        </is>
      </c>
      <c r="B421" s="1" t="n">
        <v>45190</v>
      </c>
      <c r="C421" s="1" t="n">
        <v>46093</v>
      </c>
      <c r="D421" t="inlineStr">
        <is>
          <t>NORRBOTTENS LÄN</t>
        </is>
      </c>
      <c r="E421" t="inlineStr">
        <is>
          <t>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56498-2025</t>
        </is>
      </c>
      <c r="B422" s="1" t="n">
        <v>45975.43135416666</v>
      </c>
      <c r="C422" s="1" t="n">
        <v>46093</v>
      </c>
      <c r="D422" t="inlineStr">
        <is>
          <t>NORRBOTTENS LÄN</t>
        </is>
      </c>
      <c r="E422" t="inlineStr">
        <is>
          <t>KALIX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19642-2025</t>
        </is>
      </c>
      <c r="B423" s="1" t="n">
        <v>45770.65853009259</v>
      </c>
      <c r="C423" s="1" t="n">
        <v>46093</v>
      </c>
      <c r="D423" t="inlineStr">
        <is>
          <t>NORRBOTTENS LÄN</t>
        </is>
      </c>
      <c r="E423" t="inlineStr">
        <is>
          <t>KALIX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47099-2023</t>
        </is>
      </c>
      <c r="B424" s="1" t="n">
        <v>45201.65041666666</v>
      </c>
      <c r="C424" s="1" t="n">
        <v>46093</v>
      </c>
      <c r="D424" t="inlineStr">
        <is>
          <t>NORRBOTTENS LÄN</t>
        </is>
      </c>
      <c r="E424" t="inlineStr">
        <is>
          <t>KALIX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57676-2025</t>
        </is>
      </c>
      <c r="B425" s="1" t="n">
        <v>45980.2719212963</v>
      </c>
      <c r="C425" s="1" t="n">
        <v>46093</v>
      </c>
      <c r="D425" t="inlineStr">
        <is>
          <t>NORRBOTTENS LÄN</t>
        </is>
      </c>
      <c r="E425" t="inlineStr">
        <is>
          <t>KALIX</t>
        </is>
      </c>
      <c r="G425" t="n">
        <v>23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19146-2023</t>
        </is>
      </c>
      <c r="B426" s="1" t="n">
        <v>45044</v>
      </c>
      <c r="C426" s="1" t="n">
        <v>46093</v>
      </c>
      <c r="D426" t="inlineStr">
        <is>
          <t>NORRBOTTENS LÄN</t>
        </is>
      </c>
      <c r="E426" t="inlineStr">
        <is>
          <t>KALIX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57292-2025</t>
        </is>
      </c>
      <c r="B427" s="1" t="n">
        <v>45979</v>
      </c>
      <c r="C427" s="1" t="n">
        <v>46093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3387-2023</t>
        </is>
      </c>
      <c r="B428" s="1" t="n">
        <v>44945</v>
      </c>
      <c r="C428" s="1" t="n">
        <v>46093</v>
      </c>
      <c r="D428" t="inlineStr">
        <is>
          <t>NORRBOTTENS LÄN</t>
        </is>
      </c>
      <c r="E428" t="inlineStr">
        <is>
          <t>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57293-2025</t>
        </is>
      </c>
      <c r="B429" s="1" t="n">
        <v>45979</v>
      </c>
      <c r="C429" s="1" t="n">
        <v>46093</v>
      </c>
      <c r="D429" t="inlineStr">
        <is>
          <t>NORRBOTTENS LÄN</t>
        </is>
      </c>
      <c r="E429" t="inlineStr">
        <is>
          <t>KALIX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4199-2025</t>
        </is>
      </c>
      <c r="B430" s="1" t="n">
        <v>45685</v>
      </c>
      <c r="C430" s="1" t="n">
        <v>46093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57670-2025</t>
        </is>
      </c>
      <c r="B431" s="1" t="n">
        <v>45980.24248842592</v>
      </c>
      <c r="C431" s="1" t="n">
        <v>46093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57671-2025</t>
        </is>
      </c>
      <c r="B432" s="1" t="n">
        <v>45980.2478125</v>
      </c>
      <c r="C432" s="1" t="n">
        <v>46093</v>
      </c>
      <c r="D432" t="inlineStr">
        <is>
          <t>NORRBOTTENS LÄN</t>
        </is>
      </c>
      <c r="E432" t="inlineStr">
        <is>
          <t>KALIX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20232-2025</t>
        </is>
      </c>
      <c r="B433" s="1" t="n">
        <v>45772</v>
      </c>
      <c r="C433" s="1" t="n">
        <v>46093</v>
      </c>
      <c r="D433" t="inlineStr">
        <is>
          <t>NORRBOTTENS LÄN</t>
        </is>
      </c>
      <c r="E433" t="inlineStr">
        <is>
          <t>KALIX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57675-2025</t>
        </is>
      </c>
      <c r="B434" s="1" t="n">
        <v>45980.27033564815</v>
      </c>
      <c r="C434" s="1" t="n">
        <v>46093</v>
      </c>
      <c r="D434" t="inlineStr">
        <is>
          <t>NORRBOTTENS LÄN</t>
        </is>
      </c>
      <c r="E434" t="inlineStr">
        <is>
          <t>KALIX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57631-2023</t>
        </is>
      </c>
      <c r="B435" s="1" t="n">
        <v>45246.58479166667</v>
      </c>
      <c r="C435" s="1" t="n">
        <v>46093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6241-2023</t>
        </is>
      </c>
      <c r="B436" s="1" t="n">
        <v>44964.9440625</v>
      </c>
      <c r="C436" s="1" t="n">
        <v>46093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9219-2025</t>
        </is>
      </c>
      <c r="B437" s="1" t="n">
        <v>45714.51996527778</v>
      </c>
      <c r="C437" s="1" t="n">
        <v>46093</v>
      </c>
      <c r="D437" t="inlineStr">
        <is>
          <t>NORRBOTTENS LÄN</t>
        </is>
      </c>
      <c r="E437" t="inlineStr">
        <is>
          <t>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57600-2025</t>
        </is>
      </c>
      <c r="B438" s="1" t="n">
        <v>45981.28849537037</v>
      </c>
      <c r="C438" s="1" t="n">
        <v>46093</v>
      </c>
      <c r="D438" t="inlineStr">
        <is>
          <t>NORRBOTTENS LÄN</t>
        </is>
      </c>
      <c r="E438" t="inlineStr">
        <is>
          <t>KALIX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57656-2025</t>
        </is>
      </c>
      <c r="B439" s="1" t="n">
        <v>45981.40686342592</v>
      </c>
      <c r="C439" s="1" t="n">
        <v>46093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58353-2022</t>
        </is>
      </c>
      <c r="B440" s="1" t="n">
        <v>44901</v>
      </c>
      <c r="C440" s="1" t="n">
        <v>46093</v>
      </c>
      <c r="D440" t="inlineStr">
        <is>
          <t>NORRBOTTENS LÄN</t>
        </is>
      </c>
      <c r="E440" t="inlineStr">
        <is>
          <t>KALIX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58277-2025</t>
        </is>
      </c>
      <c r="B441" s="1" t="n">
        <v>45985.43519675926</v>
      </c>
      <c r="C441" s="1" t="n">
        <v>46093</v>
      </c>
      <c r="D441" t="inlineStr">
        <is>
          <t>NORRBOTTENS LÄN</t>
        </is>
      </c>
      <c r="E441" t="inlineStr">
        <is>
          <t>KALIX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58328-2025</t>
        </is>
      </c>
      <c r="B442" s="1" t="n">
        <v>45985.4790162037</v>
      </c>
      <c r="C442" s="1" t="n">
        <v>46093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58392-2021</t>
        </is>
      </c>
      <c r="B443" s="1" t="n">
        <v>44488</v>
      </c>
      <c r="C443" s="1" t="n">
        <v>46093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58289-2025</t>
        </is>
      </c>
      <c r="B444" s="1" t="n">
        <v>45985.44723379629</v>
      </c>
      <c r="C444" s="1" t="n">
        <v>46093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20083-2023</t>
        </is>
      </c>
      <c r="B445" s="1" t="n">
        <v>45054.92533564815</v>
      </c>
      <c r="C445" s="1" t="n">
        <v>46093</v>
      </c>
      <c r="D445" t="inlineStr">
        <is>
          <t>NORRBOTTENS LÄN</t>
        </is>
      </c>
      <c r="E445" t="inlineStr">
        <is>
          <t>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20084-2023</t>
        </is>
      </c>
      <c r="B446" s="1" t="n">
        <v>45054.92546296296</v>
      </c>
      <c r="C446" s="1" t="n">
        <v>46093</v>
      </c>
      <c r="D446" t="inlineStr">
        <is>
          <t>NORRBOTTENS LÄN</t>
        </is>
      </c>
      <c r="E446" t="inlineStr">
        <is>
          <t>KALIX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62157-2023</t>
        </is>
      </c>
      <c r="B447" s="1" t="n">
        <v>45266</v>
      </c>
      <c r="C447" s="1" t="n">
        <v>46093</v>
      </c>
      <c r="D447" t="inlineStr">
        <is>
          <t>NORRBOTTENS LÄN</t>
        </is>
      </c>
      <c r="E447" t="inlineStr">
        <is>
          <t>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62161-2023</t>
        </is>
      </c>
      <c r="B448" s="1" t="n">
        <v>45266</v>
      </c>
      <c r="C448" s="1" t="n">
        <v>46093</v>
      </c>
      <c r="D448" t="inlineStr">
        <is>
          <t>NORRBOTTENS LÄN</t>
        </is>
      </c>
      <c r="E448" t="inlineStr">
        <is>
          <t>KALIX</t>
        </is>
      </c>
      <c r="G448" t="n">
        <v>17.7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58323-2025</t>
        </is>
      </c>
      <c r="B449" s="1" t="n">
        <v>45985.4762962963</v>
      </c>
      <c r="C449" s="1" t="n">
        <v>46093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58656-2025</t>
        </is>
      </c>
      <c r="B450" s="1" t="n">
        <v>45986.52354166667</v>
      </c>
      <c r="C450" s="1" t="n">
        <v>46093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58659-2025</t>
        </is>
      </c>
      <c r="B451" s="1" t="n">
        <v>45986.52859953704</v>
      </c>
      <c r="C451" s="1" t="n">
        <v>46093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25871-2022</t>
        </is>
      </c>
      <c r="B452" s="1" t="n">
        <v>44733.64865740741</v>
      </c>
      <c r="C452" s="1" t="n">
        <v>46093</v>
      </c>
      <c r="D452" t="inlineStr">
        <is>
          <t>NORRBOTTENS LÄN</t>
        </is>
      </c>
      <c r="E452" t="inlineStr">
        <is>
          <t>KALIX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49216-2023</t>
        </is>
      </c>
      <c r="B453" s="1" t="n">
        <v>45210.61107638889</v>
      </c>
      <c r="C453" s="1" t="n">
        <v>46093</v>
      </c>
      <c r="D453" t="inlineStr">
        <is>
          <t>NORRBOTTENS LÄN</t>
        </is>
      </c>
      <c r="E453" t="inlineStr">
        <is>
          <t>KALIX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10049-2025</t>
        </is>
      </c>
      <c r="B454" s="1" t="n">
        <v>45719.51630787037</v>
      </c>
      <c r="C454" s="1" t="n">
        <v>46093</v>
      </c>
      <c r="D454" t="inlineStr">
        <is>
          <t>NORRBOTTENS LÄN</t>
        </is>
      </c>
      <c r="E454" t="inlineStr">
        <is>
          <t>KALIX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58417-2025</t>
        </is>
      </c>
      <c r="B455" s="1" t="n">
        <v>45985.58087962963</v>
      </c>
      <c r="C455" s="1" t="n">
        <v>46093</v>
      </c>
      <c r="D455" t="inlineStr">
        <is>
          <t>NORRBOTTENS LÄN</t>
        </is>
      </c>
      <c r="E455" t="inlineStr">
        <is>
          <t>KALIX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58208-2025</t>
        </is>
      </c>
      <c r="B456" s="1" t="n">
        <v>45985.31954861111</v>
      </c>
      <c r="C456" s="1" t="n">
        <v>46093</v>
      </c>
      <c r="D456" t="inlineStr">
        <is>
          <t>NORRBOTTENS LÄN</t>
        </is>
      </c>
      <c r="E456" t="inlineStr">
        <is>
          <t>KALIX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58232-2025</t>
        </is>
      </c>
      <c r="B457" s="1" t="n">
        <v>45985.38268518518</v>
      </c>
      <c r="C457" s="1" t="n">
        <v>46093</v>
      </c>
      <c r="D457" t="inlineStr">
        <is>
          <t>NORRBOTTENS LÄN</t>
        </is>
      </c>
      <c r="E457" t="inlineStr">
        <is>
          <t>KALIX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58333-2025</t>
        </is>
      </c>
      <c r="B458" s="1" t="n">
        <v>45985.48043981481</v>
      </c>
      <c r="C458" s="1" t="n">
        <v>46093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8799-2025</t>
        </is>
      </c>
      <c r="B459" s="1" t="n">
        <v>45712.65548611111</v>
      </c>
      <c r="C459" s="1" t="n">
        <v>46093</v>
      </c>
      <c r="D459" t="inlineStr">
        <is>
          <t>NORRBOTTENS LÄN</t>
        </is>
      </c>
      <c r="E459" t="inlineStr">
        <is>
          <t>KALIX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46093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46187-2021</t>
        </is>
      </c>
      <c r="B461" s="1" t="n">
        <v>44442</v>
      </c>
      <c r="C461" s="1" t="n">
        <v>46093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58511-2023</t>
        </is>
      </c>
      <c r="B462" s="1" t="n">
        <v>45251.37363425926</v>
      </c>
      <c r="C462" s="1" t="n">
        <v>46093</v>
      </c>
      <c r="D462" t="inlineStr">
        <is>
          <t>NORRBOTTENS LÄN</t>
        </is>
      </c>
      <c r="E462" t="inlineStr">
        <is>
          <t>KALIX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37582-2024</t>
        </is>
      </c>
      <c r="B463" s="1" t="n">
        <v>45541</v>
      </c>
      <c r="C463" s="1" t="n">
        <v>46093</v>
      </c>
      <c r="D463" t="inlineStr">
        <is>
          <t>NORRBOTTENS LÄN</t>
        </is>
      </c>
      <c r="E463" t="inlineStr">
        <is>
          <t>KALIX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10054-2025</t>
        </is>
      </c>
      <c r="B464" s="1" t="n">
        <v>45719.52578703704</v>
      </c>
      <c r="C464" s="1" t="n">
        <v>46093</v>
      </c>
      <c r="D464" t="inlineStr">
        <is>
          <t>NORRBOTTENS LÄN</t>
        </is>
      </c>
      <c r="E464" t="inlineStr">
        <is>
          <t>KALIX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59262-2025</t>
        </is>
      </c>
      <c r="B465" s="1" t="n">
        <v>45988.65796296296</v>
      </c>
      <c r="C465" s="1" t="n">
        <v>46093</v>
      </c>
      <c r="D465" t="inlineStr">
        <is>
          <t>NORRBOTTENS LÄN</t>
        </is>
      </c>
      <c r="E465" t="inlineStr">
        <is>
          <t>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30582-2023</t>
        </is>
      </c>
      <c r="B466" s="1" t="n">
        <v>45112.32819444445</v>
      </c>
      <c r="C466" s="1" t="n">
        <v>46093</v>
      </c>
      <c r="D466" t="inlineStr">
        <is>
          <t>NORRBOTTENS LÄN</t>
        </is>
      </c>
      <c r="E466" t="inlineStr">
        <is>
          <t>KALIX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60508-2023</t>
        </is>
      </c>
      <c r="B467" s="1" t="n">
        <v>45259.64317129629</v>
      </c>
      <c r="C467" s="1" t="n">
        <v>46093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59886-2024</t>
        </is>
      </c>
      <c r="B468" s="1" t="n">
        <v>45641.52986111111</v>
      </c>
      <c r="C468" s="1" t="n">
        <v>46093</v>
      </c>
      <c r="D468" t="inlineStr">
        <is>
          <t>NORRBOTTENS LÄN</t>
        </is>
      </c>
      <c r="E468" t="inlineStr">
        <is>
          <t>KALIX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35051-2023</t>
        </is>
      </c>
      <c r="B469" s="1" t="n">
        <v>45145.38618055556</v>
      </c>
      <c r="C469" s="1" t="n">
        <v>46093</v>
      </c>
      <c r="D469" t="inlineStr">
        <is>
          <t>NORRBOTTENS LÄN</t>
        </is>
      </c>
      <c r="E469" t="inlineStr">
        <is>
          <t>KALIX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13819-2025</t>
        </is>
      </c>
      <c r="B470" s="1" t="n">
        <v>45737.52472222222</v>
      </c>
      <c r="C470" s="1" t="n">
        <v>46093</v>
      </c>
      <c r="D470" t="inlineStr">
        <is>
          <t>NORRBOTTENS LÄN</t>
        </is>
      </c>
      <c r="E470" t="inlineStr">
        <is>
          <t>KALIX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59352-2025</t>
        </is>
      </c>
      <c r="B471" s="1" t="n">
        <v>45989</v>
      </c>
      <c r="C471" s="1" t="n">
        <v>46093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48011-2024</t>
        </is>
      </c>
      <c r="B472" s="1" t="n">
        <v>45589.45561342593</v>
      </c>
      <c r="C472" s="1" t="n">
        <v>46093</v>
      </c>
      <c r="D472" t="inlineStr">
        <is>
          <t>NORRBOTTENS LÄN</t>
        </is>
      </c>
      <c r="E472" t="inlineStr">
        <is>
          <t>KALIX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62166-2023</t>
        </is>
      </c>
      <c r="B473" s="1" t="n">
        <v>45266</v>
      </c>
      <c r="C473" s="1" t="n">
        <v>46093</v>
      </c>
      <c r="D473" t="inlineStr">
        <is>
          <t>NORRBOTTENS LÄN</t>
        </is>
      </c>
      <c r="E473" t="inlineStr">
        <is>
          <t>KALIX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60300-2025</t>
        </is>
      </c>
      <c r="B474" s="1" t="n">
        <v>45994.66059027778</v>
      </c>
      <c r="C474" s="1" t="n">
        <v>46093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21574-2023</t>
        </is>
      </c>
      <c r="B475" s="1" t="n">
        <v>45063.59164351852</v>
      </c>
      <c r="C475" s="1" t="n">
        <v>46093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59975-2025</t>
        </is>
      </c>
      <c r="B476" s="1" t="n">
        <v>45993.5033912037</v>
      </c>
      <c r="C476" s="1" t="n">
        <v>46093</v>
      </c>
      <c r="D476" t="inlineStr">
        <is>
          <t>NORRBOTTENS LÄN</t>
        </is>
      </c>
      <c r="E476" t="inlineStr">
        <is>
          <t>KALIX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60054-2025</t>
        </is>
      </c>
      <c r="B477" s="1" t="n">
        <v>45993.63994212963</v>
      </c>
      <c r="C477" s="1" t="n">
        <v>46093</v>
      </c>
      <c r="D477" t="inlineStr">
        <is>
          <t>NORRBOTTENS LÄN</t>
        </is>
      </c>
      <c r="E477" t="inlineStr">
        <is>
          <t>KALIX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60096-2025</t>
        </is>
      </c>
      <c r="B478" s="1" t="n">
        <v>45993.87747685185</v>
      </c>
      <c r="C478" s="1" t="n">
        <v>46093</v>
      </c>
      <c r="D478" t="inlineStr">
        <is>
          <t>NORRBOTTENS LÄN</t>
        </is>
      </c>
      <c r="E478" t="inlineStr">
        <is>
          <t>KALIX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60097-2025</t>
        </is>
      </c>
      <c r="B479" s="1" t="n">
        <v>45993.88168981481</v>
      </c>
      <c r="C479" s="1" t="n">
        <v>46093</v>
      </c>
      <c r="D479" t="inlineStr">
        <is>
          <t>NORRBOTTENS LÄN</t>
        </is>
      </c>
      <c r="E479" t="inlineStr">
        <is>
          <t>KALIX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60234-2025</t>
        </is>
      </c>
      <c r="B480" s="1" t="n">
        <v>45994.5734375</v>
      </c>
      <c r="C480" s="1" t="n">
        <v>46093</v>
      </c>
      <c r="D480" t="inlineStr">
        <is>
          <t>NORRBOTTENS LÄN</t>
        </is>
      </c>
      <c r="E480" t="inlineStr">
        <is>
          <t>KALIX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60098-2025</t>
        </is>
      </c>
      <c r="B481" s="1" t="n">
        <v>45993.88663194444</v>
      </c>
      <c r="C481" s="1" t="n">
        <v>46093</v>
      </c>
      <c r="D481" t="inlineStr">
        <is>
          <t>NORRBOTTENS LÄN</t>
        </is>
      </c>
      <c r="E481" t="inlineStr">
        <is>
          <t>KALIX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58578-2023</t>
        </is>
      </c>
      <c r="B482" s="1" t="n">
        <v>45246</v>
      </c>
      <c r="C482" s="1" t="n">
        <v>46093</v>
      </c>
      <c r="D482" t="inlineStr">
        <is>
          <t>NORRBOTTENS LÄN</t>
        </is>
      </c>
      <c r="E482" t="inlineStr">
        <is>
          <t>KALIX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41661-2023</t>
        </is>
      </c>
      <c r="B483" s="1" t="n">
        <v>45175.95792824074</v>
      </c>
      <c r="C483" s="1" t="n">
        <v>46093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59980-2025</t>
        </is>
      </c>
      <c r="B484" s="1" t="n">
        <v>45993.5291087963</v>
      </c>
      <c r="C484" s="1" t="n">
        <v>46093</v>
      </c>
      <c r="D484" t="inlineStr">
        <is>
          <t>NORRBOTTENS LÄN</t>
        </is>
      </c>
      <c r="E484" t="inlineStr">
        <is>
          <t>KALIX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59983-2025</t>
        </is>
      </c>
      <c r="B485" s="1" t="n">
        <v>45993.54071759259</v>
      </c>
      <c r="C485" s="1" t="n">
        <v>46093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60285-2025</t>
        </is>
      </c>
      <c r="B486" s="1" t="n">
        <v>45994.64605324074</v>
      </c>
      <c r="C486" s="1" t="n">
        <v>46093</v>
      </c>
      <c r="D486" t="inlineStr">
        <is>
          <t>NORRBOTTENS LÄN</t>
        </is>
      </c>
      <c r="E486" t="inlineStr">
        <is>
          <t>KALIX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4412-2023</t>
        </is>
      </c>
      <c r="B487" s="1" t="n">
        <v>44956.38069444444</v>
      </c>
      <c r="C487" s="1" t="n">
        <v>46093</v>
      </c>
      <c r="D487" t="inlineStr">
        <is>
          <t>NORRBOTTENS LÄN</t>
        </is>
      </c>
      <c r="E487" t="inlineStr">
        <is>
          <t>KALIX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12462-2025</t>
        </is>
      </c>
      <c r="B488" s="1" t="n">
        <v>45730.53193287037</v>
      </c>
      <c r="C488" s="1" t="n">
        <v>46093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20350-2023</t>
        </is>
      </c>
      <c r="B489" s="1" t="n">
        <v>45054</v>
      </c>
      <c r="C489" s="1" t="n">
        <v>46093</v>
      </c>
      <c r="D489" t="inlineStr">
        <is>
          <t>NORRBOTTENS LÄN</t>
        </is>
      </c>
      <c r="E489" t="inlineStr">
        <is>
          <t>KALIX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3310-2025</t>
        </is>
      </c>
      <c r="B490" s="1" t="n">
        <v>45679.6761574074</v>
      </c>
      <c r="C490" s="1" t="n">
        <v>46093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37657-2023</t>
        </is>
      </c>
      <c r="B491" s="1" t="n">
        <v>45159</v>
      </c>
      <c r="C491" s="1" t="n">
        <v>46093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60727-2025</t>
        </is>
      </c>
      <c r="B492" s="1" t="n">
        <v>45996.6802662037</v>
      </c>
      <c r="C492" s="1" t="n">
        <v>46093</v>
      </c>
      <c r="D492" t="inlineStr">
        <is>
          <t>NORRBOTTENS LÄN</t>
        </is>
      </c>
      <c r="E492" t="inlineStr">
        <is>
          <t>KALIX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15515-2024</t>
        </is>
      </c>
      <c r="B493" s="1" t="n">
        <v>45401</v>
      </c>
      <c r="C493" s="1" t="n">
        <v>46093</v>
      </c>
      <c r="D493" t="inlineStr">
        <is>
          <t>NORRBOTTENS LÄN</t>
        </is>
      </c>
      <c r="E493" t="inlineStr">
        <is>
          <t>KALIX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283-2024</t>
        </is>
      </c>
      <c r="B494" s="1" t="n">
        <v>45295.4080787037</v>
      </c>
      <c r="C494" s="1" t="n">
        <v>46093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60478-2025</t>
        </is>
      </c>
      <c r="B495" s="1" t="n">
        <v>45995.59439814815</v>
      </c>
      <c r="C495" s="1" t="n">
        <v>46093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54506-2023</t>
        </is>
      </c>
      <c r="B496" s="1" t="n">
        <v>45226</v>
      </c>
      <c r="C496" s="1" t="n">
        <v>46093</v>
      </c>
      <c r="D496" t="inlineStr">
        <is>
          <t>NORRBOTTENS LÄN</t>
        </is>
      </c>
      <c r="E496" t="inlineStr">
        <is>
          <t>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16221-2024</t>
        </is>
      </c>
      <c r="B497" s="1" t="n">
        <v>45406.9640625</v>
      </c>
      <c r="C497" s="1" t="n">
        <v>46093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59884-2024</t>
        </is>
      </c>
      <c r="B498" s="1" t="n">
        <v>45641.49390046296</v>
      </c>
      <c r="C498" s="1" t="n">
        <v>46093</v>
      </c>
      <c r="D498" t="inlineStr">
        <is>
          <t>NORRBOTTENS LÄN</t>
        </is>
      </c>
      <c r="E498" t="inlineStr">
        <is>
          <t>KALIX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60814-2025</t>
        </is>
      </c>
      <c r="B499" s="1" t="n">
        <v>45999.4484375</v>
      </c>
      <c r="C499" s="1" t="n">
        <v>46093</v>
      </c>
      <c r="D499" t="inlineStr">
        <is>
          <t>NORRBOTTENS LÄN</t>
        </is>
      </c>
      <c r="E499" t="inlineStr">
        <is>
          <t>KALIX</t>
        </is>
      </c>
      <c r="G499" t="n">
        <v>13.5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61632-2025</t>
        </is>
      </c>
      <c r="B500" s="1" t="n">
        <v>46002.41486111111</v>
      </c>
      <c r="C500" s="1" t="n">
        <v>46093</v>
      </c>
      <c r="D500" t="inlineStr">
        <is>
          <t>NORRBOTTENS LÄN</t>
        </is>
      </c>
      <c r="E500" t="inlineStr">
        <is>
          <t>KALIX</t>
        </is>
      </c>
      <c r="G500" t="n">
        <v>23.9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58585-2022</t>
        </is>
      </c>
      <c r="B501" s="1" t="n">
        <v>44894</v>
      </c>
      <c r="C501" s="1" t="n">
        <v>46093</v>
      </c>
      <c r="D501" t="inlineStr">
        <is>
          <t>NORRBOTTENS LÄN</t>
        </is>
      </c>
      <c r="E501" t="inlineStr">
        <is>
          <t>KALIX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61394-2025</t>
        </is>
      </c>
      <c r="B502" s="1" t="n">
        <v>46001.47069444445</v>
      </c>
      <c r="C502" s="1" t="n">
        <v>46093</v>
      </c>
      <c r="D502" t="inlineStr">
        <is>
          <t>NORRBOTTENS LÄN</t>
        </is>
      </c>
      <c r="E502" t="inlineStr">
        <is>
          <t>KALIX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762-2025</t>
        </is>
      </c>
      <c r="B503" s="1" t="n">
        <v>45665.45089120371</v>
      </c>
      <c r="C503" s="1" t="n">
        <v>46093</v>
      </c>
      <c r="D503" t="inlineStr">
        <is>
          <t>NORRBOTTENS LÄN</t>
        </is>
      </c>
      <c r="E503" t="inlineStr">
        <is>
          <t>KALIX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29310-2023</t>
        </is>
      </c>
      <c r="B504" s="1" t="n">
        <v>45105.92538194444</v>
      </c>
      <c r="C504" s="1" t="n">
        <v>46093</v>
      </c>
      <c r="D504" t="inlineStr">
        <is>
          <t>NORRBOTTENS LÄN</t>
        </is>
      </c>
      <c r="E504" t="inlineStr">
        <is>
          <t>KALIX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3806-2025</t>
        </is>
      </c>
      <c r="B505" s="1" t="n">
        <v>45681.67431712963</v>
      </c>
      <c r="C505" s="1" t="n">
        <v>46093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2541-2025</t>
        </is>
      </c>
      <c r="B506" s="1" t="n">
        <v>45673</v>
      </c>
      <c r="C506" s="1" t="n">
        <v>46093</v>
      </c>
      <c r="D506" t="inlineStr">
        <is>
          <t>NORRBOTTENS LÄN</t>
        </is>
      </c>
      <c r="E506" t="inlineStr">
        <is>
          <t>KALIX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61904-2025</t>
        </is>
      </c>
      <c r="B507" s="1" t="n">
        <v>46003</v>
      </c>
      <c r="C507" s="1" t="n">
        <v>46093</v>
      </c>
      <c r="D507" t="inlineStr">
        <is>
          <t>NORRBOTTENS LÄN</t>
        </is>
      </c>
      <c r="E507" t="inlineStr">
        <is>
          <t>KALIX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61907-2025</t>
        </is>
      </c>
      <c r="B508" s="1" t="n">
        <v>46003.47017361111</v>
      </c>
      <c r="C508" s="1" t="n">
        <v>46093</v>
      </c>
      <c r="D508" t="inlineStr">
        <is>
          <t>NORRBOTTENS LÄN</t>
        </is>
      </c>
      <c r="E508" t="inlineStr">
        <is>
          <t>KALIX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61912-2025</t>
        </is>
      </c>
      <c r="B509" s="1" t="n">
        <v>46003</v>
      </c>
      <c r="C509" s="1" t="n">
        <v>46093</v>
      </c>
      <c r="D509" t="inlineStr">
        <is>
          <t>NORRBOTTENS LÄN</t>
        </is>
      </c>
      <c r="E509" t="inlineStr">
        <is>
          <t>KALIX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61909-2025</t>
        </is>
      </c>
      <c r="B510" s="1" t="n">
        <v>46003</v>
      </c>
      <c r="C510" s="1" t="n">
        <v>46093</v>
      </c>
      <c r="D510" t="inlineStr">
        <is>
          <t>NORRBOTTENS LÄN</t>
        </is>
      </c>
      <c r="E510" t="inlineStr">
        <is>
          <t>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61917-2025</t>
        </is>
      </c>
      <c r="B511" s="1" t="n">
        <v>46003</v>
      </c>
      <c r="C511" s="1" t="n">
        <v>46093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57860-2022</t>
        </is>
      </c>
      <c r="B512" s="1" t="n">
        <v>44898.98259259259</v>
      </c>
      <c r="C512" s="1" t="n">
        <v>46093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61885-2025</t>
        </is>
      </c>
      <c r="B513" s="1" t="n">
        <v>46003</v>
      </c>
      <c r="C513" s="1" t="n">
        <v>46093</v>
      </c>
      <c r="D513" t="inlineStr">
        <is>
          <t>NORRBOTTENS LÄN</t>
        </is>
      </c>
      <c r="E513" t="inlineStr">
        <is>
          <t>KALIX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61893-2025</t>
        </is>
      </c>
      <c r="B514" s="1" t="n">
        <v>46003</v>
      </c>
      <c r="C514" s="1" t="n">
        <v>46093</v>
      </c>
      <c r="D514" t="inlineStr">
        <is>
          <t>NORRBOTTENS LÄN</t>
        </is>
      </c>
      <c r="E514" t="inlineStr">
        <is>
          <t>KALIX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61905-2025</t>
        </is>
      </c>
      <c r="B515" s="1" t="n">
        <v>46003.47005787037</v>
      </c>
      <c r="C515" s="1" t="n">
        <v>46093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61955-2025</t>
        </is>
      </c>
      <c r="B516" s="1" t="n">
        <v>46003.5743287037</v>
      </c>
      <c r="C516" s="1" t="n">
        <v>46093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61867-2025</t>
        </is>
      </c>
      <c r="B517" s="1" t="n">
        <v>46003.38894675926</v>
      </c>
      <c r="C517" s="1" t="n">
        <v>46093</v>
      </c>
      <c r="D517" t="inlineStr">
        <is>
          <t>NORRBOTTENS LÄN</t>
        </is>
      </c>
      <c r="E517" t="inlineStr">
        <is>
          <t>KALIX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61870-2025</t>
        </is>
      </c>
      <c r="B518" s="1" t="n">
        <v>46003.39394675926</v>
      </c>
      <c r="C518" s="1" t="n">
        <v>46093</v>
      </c>
      <c r="D518" t="inlineStr">
        <is>
          <t>NORRBOTTENS LÄN</t>
        </is>
      </c>
      <c r="E518" t="inlineStr">
        <is>
          <t>KALIX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61942-2025</t>
        </is>
      </c>
      <c r="B519" s="1" t="n">
        <v>46003</v>
      </c>
      <c r="C519" s="1" t="n">
        <v>46093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61950-2025</t>
        </is>
      </c>
      <c r="B520" s="1" t="n">
        <v>46003</v>
      </c>
      <c r="C520" s="1" t="n">
        <v>46093</v>
      </c>
      <c r="D520" t="inlineStr">
        <is>
          <t>NORRBOTTENS LÄN</t>
        </is>
      </c>
      <c r="E520" t="inlineStr">
        <is>
          <t>KALIX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61868-2025</t>
        </is>
      </c>
      <c r="B521" s="1" t="n">
        <v>46003.39039351852</v>
      </c>
      <c r="C521" s="1" t="n">
        <v>46093</v>
      </c>
      <c r="D521" t="inlineStr">
        <is>
          <t>NORRBOTTENS LÄN</t>
        </is>
      </c>
      <c r="E521" t="inlineStr">
        <is>
          <t>KALIX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43673-2024</t>
        </is>
      </c>
      <c r="B522" s="1" t="n">
        <v>45569</v>
      </c>
      <c r="C522" s="1" t="n">
        <v>46093</v>
      </c>
      <c r="D522" t="inlineStr">
        <is>
          <t>NORRBOTTENS LÄN</t>
        </is>
      </c>
      <c r="E522" t="inlineStr">
        <is>
          <t>KALIX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11-2025</t>
        </is>
      </c>
      <c r="B523" s="1" t="n">
        <v>45658.64216435186</v>
      </c>
      <c r="C523" s="1" t="n">
        <v>46093</v>
      </c>
      <c r="D523" t="inlineStr">
        <is>
          <t>NORRBOTTENS LÄN</t>
        </is>
      </c>
      <c r="E523" t="inlineStr">
        <is>
          <t>KALIX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61897-2025</t>
        </is>
      </c>
      <c r="B524" s="1" t="n">
        <v>46003.46508101852</v>
      </c>
      <c r="C524" s="1" t="n">
        <v>46093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61860-2025</t>
        </is>
      </c>
      <c r="B525" s="1" t="n">
        <v>46003.38666666667</v>
      </c>
      <c r="C525" s="1" t="n">
        <v>46093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61906-2025</t>
        </is>
      </c>
      <c r="B526" s="1" t="n">
        <v>46003.47009259259</v>
      </c>
      <c r="C526" s="1" t="n">
        <v>46093</v>
      </c>
      <c r="D526" t="inlineStr">
        <is>
          <t>NORRBOTTENS LÄN</t>
        </is>
      </c>
      <c r="E526" t="inlineStr">
        <is>
          <t>KALIX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61939-2025</t>
        </is>
      </c>
      <c r="B527" s="1" t="n">
        <v>46003</v>
      </c>
      <c r="C527" s="1" t="n">
        <v>46093</v>
      </c>
      <c r="D527" t="inlineStr">
        <is>
          <t>NORRBOTTENS LÄN</t>
        </is>
      </c>
      <c r="E527" t="inlineStr">
        <is>
          <t>KALIX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58182-2024</t>
        </is>
      </c>
      <c r="B528" s="1" t="n">
        <v>45632.47152777778</v>
      </c>
      <c r="C528" s="1" t="n">
        <v>46093</v>
      </c>
      <c r="D528" t="inlineStr">
        <is>
          <t>NORRBOTTENS LÄN</t>
        </is>
      </c>
      <c r="E528" t="inlineStr">
        <is>
          <t>KALIX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46585-2024</t>
        </is>
      </c>
      <c r="B529" s="1" t="n">
        <v>45582.76248842593</v>
      </c>
      <c r="C529" s="1" t="n">
        <v>46093</v>
      </c>
      <c r="D529" t="inlineStr">
        <is>
          <t>NORRBOTTENS LÄN</t>
        </is>
      </c>
      <c r="E529" t="inlineStr">
        <is>
          <t>KALIX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61945-2025</t>
        </is>
      </c>
      <c r="B530" s="1" t="n">
        <v>46003</v>
      </c>
      <c r="C530" s="1" t="n">
        <v>46093</v>
      </c>
      <c r="D530" t="inlineStr">
        <is>
          <t>NORRBOTTENS LÄN</t>
        </is>
      </c>
      <c r="E530" t="inlineStr">
        <is>
          <t>KALIX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57650-2025</t>
        </is>
      </c>
      <c r="B531" s="1" t="n">
        <v>45981</v>
      </c>
      <c r="C531" s="1" t="n">
        <v>46093</v>
      </c>
      <c r="D531" t="inlineStr">
        <is>
          <t>NORRBOTTENS LÄN</t>
        </is>
      </c>
      <c r="E531" t="inlineStr">
        <is>
          <t>KALIX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8297-2025</t>
        </is>
      </c>
      <c r="B532" s="1" t="n">
        <v>45708.58085648148</v>
      </c>
      <c r="C532" s="1" t="n">
        <v>46093</v>
      </c>
      <c r="D532" t="inlineStr">
        <is>
          <t>NORRBOTTENS LÄN</t>
        </is>
      </c>
      <c r="E532" t="inlineStr">
        <is>
          <t>KALIX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62979-2025</t>
        </is>
      </c>
      <c r="B533" s="1" t="n">
        <v>46009.48523148148</v>
      </c>
      <c r="C533" s="1" t="n">
        <v>46093</v>
      </c>
      <c r="D533" t="inlineStr">
        <is>
          <t>NORRBOTTENS LÄN</t>
        </is>
      </c>
      <c r="E533" t="inlineStr">
        <is>
          <t>KALIX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36715-2024</t>
        </is>
      </c>
      <c r="B534" s="1" t="n">
        <v>45537.82020833333</v>
      </c>
      <c r="C534" s="1" t="n">
        <v>46093</v>
      </c>
      <c r="D534" t="inlineStr">
        <is>
          <t>NORRBOTTENS LÄN</t>
        </is>
      </c>
      <c r="E534" t="inlineStr">
        <is>
          <t>KALIX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62986-2025</t>
        </is>
      </c>
      <c r="B535" s="1" t="n">
        <v>46009.49537037037</v>
      </c>
      <c r="C535" s="1" t="n">
        <v>46093</v>
      </c>
      <c r="D535" t="inlineStr">
        <is>
          <t>NORRBOTTENS LÄN</t>
        </is>
      </c>
      <c r="E535" t="inlineStr">
        <is>
          <t>KALIX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62983-2025</t>
        </is>
      </c>
      <c r="B536" s="1" t="n">
        <v>46009.49032407408</v>
      </c>
      <c r="C536" s="1" t="n">
        <v>46093</v>
      </c>
      <c r="D536" t="inlineStr">
        <is>
          <t>NORRBOTTENS LÄN</t>
        </is>
      </c>
      <c r="E536" t="inlineStr">
        <is>
          <t>KALIX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20317-2023</t>
        </is>
      </c>
      <c r="B537" s="1" t="n">
        <v>45054</v>
      </c>
      <c r="C537" s="1" t="n">
        <v>46093</v>
      </c>
      <c r="D537" t="inlineStr">
        <is>
          <t>NORRBOTTENS LÄN</t>
        </is>
      </c>
      <c r="E537" t="inlineStr">
        <is>
          <t>KALIX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8802-2025</t>
        </is>
      </c>
      <c r="B538" s="1" t="n">
        <v>45712.65888888889</v>
      </c>
      <c r="C538" s="1" t="n">
        <v>46093</v>
      </c>
      <c r="D538" t="inlineStr">
        <is>
          <t>NORRBOTTENS LÄN</t>
        </is>
      </c>
      <c r="E538" t="inlineStr">
        <is>
          <t>KALIX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63056-2025</t>
        </is>
      </c>
      <c r="B539" s="1" t="n">
        <v>46009.63621527778</v>
      </c>
      <c r="C539" s="1" t="n">
        <v>46093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58999-2023</t>
        </is>
      </c>
      <c r="B540" s="1" t="n">
        <v>45225</v>
      </c>
      <c r="C540" s="1" t="n">
        <v>46093</v>
      </c>
      <c r="D540" t="inlineStr">
        <is>
          <t>NORRBOTTENS LÄN</t>
        </is>
      </c>
      <c r="E540" t="inlineStr">
        <is>
          <t>KALIX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63267-2025</t>
        </is>
      </c>
      <c r="B541" s="1" t="n">
        <v>46010.56289351852</v>
      </c>
      <c r="C541" s="1" t="n">
        <v>46093</v>
      </c>
      <c r="D541" t="inlineStr">
        <is>
          <t>NORRBOTTENS LÄN</t>
        </is>
      </c>
      <c r="E541" t="inlineStr">
        <is>
          <t>KALIX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12927-2024</t>
        </is>
      </c>
      <c r="B542" s="1" t="n">
        <v>45385.44969907407</v>
      </c>
      <c r="C542" s="1" t="n">
        <v>46093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63102-2025</t>
        </is>
      </c>
      <c r="B543" s="1" t="n">
        <v>46009.70168981481</v>
      </c>
      <c r="C543" s="1" t="n">
        <v>46093</v>
      </c>
      <c r="D543" t="inlineStr">
        <is>
          <t>NORRBOTTENS LÄN</t>
        </is>
      </c>
      <c r="E543" t="inlineStr">
        <is>
          <t>KALIX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63364-2025</t>
        </is>
      </c>
      <c r="B544" s="1" t="n">
        <v>46009</v>
      </c>
      <c r="C544" s="1" t="n">
        <v>46093</v>
      </c>
      <c r="D544" t="inlineStr">
        <is>
          <t>NORRBOTTENS LÄN</t>
        </is>
      </c>
      <c r="E544" t="inlineStr">
        <is>
          <t>KALIX</t>
        </is>
      </c>
      <c r="F544" t="inlineStr">
        <is>
          <t>Kommuner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63104-2025</t>
        </is>
      </c>
      <c r="B545" s="1" t="n">
        <v>46009.70395833333</v>
      </c>
      <c r="C545" s="1" t="n">
        <v>46093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62314-2025</t>
        </is>
      </c>
      <c r="B546" s="1" t="n">
        <v>46003</v>
      </c>
      <c r="C546" s="1" t="n">
        <v>46093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41577-2024</t>
        </is>
      </c>
      <c r="B547" s="1" t="n">
        <v>45560.55266203704</v>
      </c>
      <c r="C547" s="1" t="n">
        <v>46093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6715-2026</t>
        </is>
      </c>
      <c r="B548" s="1" t="n">
        <v>46056.65833333333</v>
      </c>
      <c r="C548" s="1" t="n">
        <v>46093</v>
      </c>
      <c r="D548" t="inlineStr">
        <is>
          <t>NORRBOTTENS LÄN</t>
        </is>
      </c>
      <c r="E548" t="inlineStr">
        <is>
          <t>KALIX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6624-2025</t>
        </is>
      </c>
      <c r="B549" s="1" t="n">
        <v>45700.36609953704</v>
      </c>
      <c r="C549" s="1" t="n">
        <v>46093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16897-2025</t>
        </is>
      </c>
      <c r="B550" s="1" t="n">
        <v>45755.33635416667</v>
      </c>
      <c r="C550" s="1" t="n">
        <v>46093</v>
      </c>
      <c r="D550" t="inlineStr">
        <is>
          <t>NORRBOTTENS LÄN</t>
        </is>
      </c>
      <c r="E550" t="inlineStr">
        <is>
          <t>KALIX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48057-2023</t>
        </is>
      </c>
      <c r="B551" s="1" t="n">
        <v>45204</v>
      </c>
      <c r="C551" s="1" t="n">
        <v>46093</v>
      </c>
      <c r="D551" t="inlineStr">
        <is>
          <t>NORRBOTTENS LÄN</t>
        </is>
      </c>
      <c r="E551" t="inlineStr">
        <is>
          <t>KALIX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6729-2026</t>
        </is>
      </c>
      <c r="B552" s="1" t="n">
        <v>46056.68332175926</v>
      </c>
      <c r="C552" s="1" t="n">
        <v>46093</v>
      </c>
      <c r="D552" t="inlineStr">
        <is>
          <t>NORRBOTTENS LÄN</t>
        </is>
      </c>
      <c r="E552" t="inlineStr">
        <is>
          <t>KALIX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10073-2025</t>
        </is>
      </c>
      <c r="B553" s="1" t="n">
        <v>45719</v>
      </c>
      <c r="C553" s="1" t="n">
        <v>46093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3043-2025</t>
        </is>
      </c>
      <c r="B554" s="1" t="n">
        <v>45678.60608796297</v>
      </c>
      <c r="C554" s="1" t="n">
        <v>46093</v>
      </c>
      <c r="D554" t="inlineStr">
        <is>
          <t>NORRBOTTENS LÄN</t>
        </is>
      </c>
      <c r="E554" t="inlineStr">
        <is>
          <t>KALIX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26-2026</t>
        </is>
      </c>
      <c r="B555" s="1" t="n">
        <v>46013</v>
      </c>
      <c r="C555" s="1" t="n">
        <v>46093</v>
      </c>
      <c r="D555" t="inlineStr">
        <is>
          <t>NORRBOTTENS LÄN</t>
        </is>
      </c>
      <c r="E555" t="inlineStr">
        <is>
          <t>KALIX</t>
        </is>
      </c>
      <c r="F555" t="inlineStr">
        <is>
          <t>Kommuner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5920-2026</t>
        </is>
      </c>
      <c r="B556" s="1" t="n">
        <v>46052</v>
      </c>
      <c r="C556" s="1" t="n">
        <v>46093</v>
      </c>
      <c r="D556" t="inlineStr">
        <is>
          <t>NORRBOTTENS LÄN</t>
        </is>
      </c>
      <c r="E556" t="inlineStr">
        <is>
          <t>KALIX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63450-2025</t>
        </is>
      </c>
      <c r="B557" s="1" t="n">
        <v>46013.40663194445</v>
      </c>
      <c r="C557" s="1" t="n">
        <v>46093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6155-2026</t>
        </is>
      </c>
      <c r="B558" s="1" t="n">
        <v>46055.3046875</v>
      </c>
      <c r="C558" s="1" t="n">
        <v>46093</v>
      </c>
      <c r="D558" t="inlineStr">
        <is>
          <t>NORRBOTTENS LÄN</t>
        </is>
      </c>
      <c r="E558" t="inlineStr">
        <is>
          <t>KALIX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9450-2023</t>
        </is>
      </c>
      <c r="B559" s="1" t="n">
        <v>44981</v>
      </c>
      <c r="C559" s="1" t="n">
        <v>46093</v>
      </c>
      <c r="D559" t="inlineStr">
        <is>
          <t>NORRBOTTENS LÄN</t>
        </is>
      </c>
      <c r="E559" t="inlineStr">
        <is>
          <t>KALIX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9225-2025</t>
        </is>
      </c>
      <c r="B560" s="1" t="n">
        <v>45714.53447916666</v>
      </c>
      <c r="C560" s="1" t="n">
        <v>46093</v>
      </c>
      <c r="D560" t="inlineStr">
        <is>
          <t>NORRBOTTENS LÄN</t>
        </is>
      </c>
      <c r="E560" t="inlineStr">
        <is>
          <t>KALIX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47154-2024</t>
        </is>
      </c>
      <c r="B561" s="1" t="n">
        <v>45586.5952662037</v>
      </c>
      <c r="C561" s="1" t="n">
        <v>46093</v>
      </c>
      <c r="D561" t="inlineStr">
        <is>
          <t>NORRBOTTENS LÄN</t>
        </is>
      </c>
      <c r="E561" t="inlineStr">
        <is>
          <t>KALIX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44749-2025</t>
        </is>
      </c>
      <c r="B562" s="1" t="n">
        <v>45917.67810185185</v>
      </c>
      <c r="C562" s="1" t="n">
        <v>46093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21606-2023</t>
        </is>
      </c>
      <c r="B563" s="1" t="n">
        <v>45063.62370370371</v>
      </c>
      <c r="C563" s="1" t="n">
        <v>46093</v>
      </c>
      <c r="D563" t="inlineStr">
        <is>
          <t>NORRBOTTENS LÄN</t>
        </is>
      </c>
      <c r="E563" t="inlineStr">
        <is>
          <t>KALIX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56470-2023</t>
        </is>
      </c>
      <c r="B564" s="1" t="n">
        <v>45237</v>
      </c>
      <c r="C564" s="1" t="n">
        <v>46093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41132-2023</t>
        </is>
      </c>
      <c r="B565" s="1" t="n">
        <v>45173</v>
      </c>
      <c r="C565" s="1" t="n">
        <v>46093</v>
      </c>
      <c r="D565" t="inlineStr">
        <is>
          <t>NORRBOTTENS LÄN</t>
        </is>
      </c>
      <c r="E565" t="inlineStr">
        <is>
          <t>KALIX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24616-2024</t>
        </is>
      </c>
      <c r="B566" s="1" t="n">
        <v>45460</v>
      </c>
      <c r="C566" s="1" t="n">
        <v>46093</v>
      </c>
      <c r="D566" t="inlineStr">
        <is>
          <t>NORRBOTTENS LÄN</t>
        </is>
      </c>
      <c r="E566" t="inlineStr">
        <is>
          <t>KALIX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32056-2024</t>
        </is>
      </c>
      <c r="B567" s="1" t="n">
        <v>45510.9696412037</v>
      </c>
      <c r="C567" s="1" t="n">
        <v>46093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20357-2023</t>
        </is>
      </c>
      <c r="B568" s="1" t="n">
        <v>45058</v>
      </c>
      <c r="C568" s="1" t="n">
        <v>46093</v>
      </c>
      <c r="D568" t="inlineStr">
        <is>
          <t>NORRBOTTENS LÄN</t>
        </is>
      </c>
      <c r="E568" t="inlineStr">
        <is>
          <t>KALIX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7234-2026</t>
        </is>
      </c>
      <c r="B569" s="1" t="n">
        <v>46058.57645833334</v>
      </c>
      <c r="C569" s="1" t="n">
        <v>46093</v>
      </c>
      <c r="D569" t="inlineStr">
        <is>
          <t>NORRBOTTENS LÄN</t>
        </is>
      </c>
      <c r="E569" t="inlineStr">
        <is>
          <t>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37781-2024</t>
        </is>
      </c>
      <c r="B570" s="1" t="n">
        <v>45542</v>
      </c>
      <c r="C570" s="1" t="n">
        <v>46093</v>
      </c>
      <c r="D570" t="inlineStr">
        <is>
          <t>NORRBOTTENS LÄN</t>
        </is>
      </c>
      <c r="E570" t="inlineStr">
        <is>
          <t>KALIX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7862-2026</t>
        </is>
      </c>
      <c r="B571" s="1" t="n">
        <v>46062.70508101852</v>
      </c>
      <c r="C571" s="1" t="n">
        <v>46093</v>
      </c>
      <c r="D571" t="inlineStr">
        <is>
          <t>NORRBOTTENS LÄN</t>
        </is>
      </c>
      <c r="E571" t="inlineStr">
        <is>
          <t>KALIX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16971-2024</t>
        </is>
      </c>
      <c r="B572" s="1" t="n">
        <v>45411.96709490741</v>
      </c>
      <c r="C572" s="1" t="n">
        <v>46093</v>
      </c>
      <c r="D572" t="inlineStr">
        <is>
          <t>NORRBOTTENS LÄN</t>
        </is>
      </c>
      <c r="E572" t="inlineStr">
        <is>
          <t>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8276-2026</t>
        </is>
      </c>
      <c r="B573" s="1" t="n">
        <v>46063</v>
      </c>
      <c r="C573" s="1" t="n">
        <v>46093</v>
      </c>
      <c r="D573" t="inlineStr">
        <is>
          <t>NORRBOTTENS LÄN</t>
        </is>
      </c>
      <c r="E573" t="inlineStr">
        <is>
          <t>KALIX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8304-2026</t>
        </is>
      </c>
      <c r="B574" s="1" t="n">
        <v>46064.58359953704</v>
      </c>
      <c r="C574" s="1" t="n">
        <v>46093</v>
      </c>
      <c r="D574" t="inlineStr">
        <is>
          <t>NORRBOTTENS LÄN</t>
        </is>
      </c>
      <c r="E574" t="inlineStr">
        <is>
          <t>KALIX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64031-2025</t>
        </is>
      </c>
      <c r="B575" s="1" t="n">
        <v>46021.48987268518</v>
      </c>
      <c r="C575" s="1" t="n">
        <v>46093</v>
      </c>
      <c r="D575" t="inlineStr">
        <is>
          <t>NORRBOTTENS LÄN</t>
        </is>
      </c>
      <c r="E575" t="inlineStr">
        <is>
          <t>KALIX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7186-2023</t>
        </is>
      </c>
      <c r="B576" s="1" t="n">
        <v>44970</v>
      </c>
      <c r="C576" s="1" t="n">
        <v>46093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64029-2025</t>
        </is>
      </c>
      <c r="B577" s="1" t="n">
        <v>46021.4858912037</v>
      </c>
      <c r="C577" s="1" t="n">
        <v>46093</v>
      </c>
      <c r="D577" t="inlineStr">
        <is>
          <t>NORRBOTTENS LÄN</t>
        </is>
      </c>
      <c r="E577" t="inlineStr">
        <is>
          <t>KALIX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6245-2023</t>
        </is>
      </c>
      <c r="B578" s="1" t="n">
        <v>44964.9444212963</v>
      </c>
      <c r="C578" s="1" t="n">
        <v>46093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64027-2025</t>
        </is>
      </c>
      <c r="B579" s="1" t="n">
        <v>46021.48355324074</v>
      </c>
      <c r="C579" s="1" t="n">
        <v>46093</v>
      </c>
      <c r="D579" t="inlineStr">
        <is>
          <t>NORRBOTTENS LÄN</t>
        </is>
      </c>
      <c r="E579" t="inlineStr">
        <is>
          <t>KALIX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64041-2025</t>
        </is>
      </c>
      <c r="B580" s="1" t="n">
        <v>46021.54532407408</v>
      </c>
      <c r="C580" s="1" t="n">
        <v>46093</v>
      </c>
      <c r="D580" t="inlineStr">
        <is>
          <t>NORRBOTTENS LÄN</t>
        </is>
      </c>
      <c r="E580" t="inlineStr">
        <is>
          <t>KALIX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59557-2024</t>
        </is>
      </c>
      <c r="B581" s="1" t="n">
        <v>45638.63635416667</v>
      </c>
      <c r="C581" s="1" t="n">
        <v>46093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60661-2024</t>
        </is>
      </c>
      <c r="B582" s="1" t="n">
        <v>45644.44634259259</v>
      </c>
      <c r="C582" s="1" t="n">
        <v>46093</v>
      </c>
      <c r="D582" t="inlineStr">
        <is>
          <t>NORRBOTTENS LÄN</t>
        </is>
      </c>
      <c r="E582" t="inlineStr">
        <is>
          <t>KALIX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91-2025</t>
        </is>
      </c>
      <c r="B583" s="1" t="n">
        <v>45659.46702546296</v>
      </c>
      <c r="C583" s="1" t="n">
        <v>46093</v>
      </c>
      <c r="D583" t="inlineStr">
        <is>
          <t>NORRBOTTENS LÄN</t>
        </is>
      </c>
      <c r="E583" t="inlineStr">
        <is>
          <t>KALIX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7024-2026</t>
        </is>
      </c>
      <c r="B584" s="1" t="n">
        <v>46057</v>
      </c>
      <c r="C584" s="1" t="n">
        <v>46093</v>
      </c>
      <c r="D584" t="inlineStr">
        <is>
          <t>NORRBOTTENS LÄN</t>
        </is>
      </c>
      <c r="E584" t="inlineStr">
        <is>
          <t>KALIX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37572-2024</t>
        </is>
      </c>
      <c r="B585" s="1" t="n">
        <v>45541</v>
      </c>
      <c r="C585" s="1" t="n">
        <v>46093</v>
      </c>
      <c r="D585" t="inlineStr">
        <is>
          <t>NORRBOTTENS LÄN</t>
        </is>
      </c>
      <c r="E585" t="inlineStr">
        <is>
          <t>KALIX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31579-2023</t>
        </is>
      </c>
      <c r="B586" s="1" t="n">
        <v>45117.44940972222</v>
      </c>
      <c r="C586" s="1" t="n">
        <v>46093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263-2025</t>
        </is>
      </c>
      <c r="B587" s="1" t="n">
        <v>45660.45284722222</v>
      </c>
      <c r="C587" s="1" t="n">
        <v>46093</v>
      </c>
      <c r="D587" t="inlineStr">
        <is>
          <t>NORRBOTTENS LÄN</t>
        </is>
      </c>
      <c r="E587" t="inlineStr">
        <is>
          <t>KALIX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8740-2026</t>
        </is>
      </c>
      <c r="B588" s="1" t="n">
        <v>46066.51106481482</v>
      </c>
      <c r="C588" s="1" t="n">
        <v>46093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7025-2026</t>
        </is>
      </c>
      <c r="B589" s="1" t="n">
        <v>46057</v>
      </c>
      <c r="C589" s="1" t="n">
        <v>46093</v>
      </c>
      <c r="D589" t="inlineStr">
        <is>
          <t>NORRBOTTENS LÄN</t>
        </is>
      </c>
      <c r="E589" t="inlineStr">
        <is>
          <t>KALIX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9193-2026</t>
        </is>
      </c>
      <c r="B590" s="1" t="n">
        <v>46070</v>
      </c>
      <c r="C590" s="1" t="n">
        <v>46093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54296-2024</t>
        </is>
      </c>
      <c r="B591" s="1" t="n">
        <v>45617</v>
      </c>
      <c r="C591" s="1" t="n">
        <v>46093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20125-2025</t>
        </is>
      </c>
      <c r="B592" s="1" t="n">
        <v>45772.49487268519</v>
      </c>
      <c r="C592" s="1" t="n">
        <v>46093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1033-2026</t>
        </is>
      </c>
      <c r="B593" s="1" t="n">
        <v>46030.61548611111</v>
      </c>
      <c r="C593" s="1" t="n">
        <v>46093</v>
      </c>
      <c r="D593" t="inlineStr">
        <is>
          <t>NORRBOTTENS LÄN</t>
        </is>
      </c>
      <c r="E593" t="inlineStr">
        <is>
          <t>KALIX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1230-2025</t>
        </is>
      </c>
      <c r="B594" s="1" t="n">
        <v>45667.44277777777</v>
      </c>
      <c r="C594" s="1" t="n">
        <v>46093</v>
      </c>
      <c r="D594" t="inlineStr">
        <is>
          <t>NORRBOTTENS LÄN</t>
        </is>
      </c>
      <c r="E594" t="inlineStr">
        <is>
          <t>KALIX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1002-2026</t>
        </is>
      </c>
      <c r="B595" s="1" t="n">
        <v>46030</v>
      </c>
      <c r="C595" s="1" t="n">
        <v>46093</v>
      </c>
      <c r="D595" t="inlineStr">
        <is>
          <t>NORRBOTTENS LÄN</t>
        </is>
      </c>
      <c r="E595" t="inlineStr">
        <is>
          <t>KALIX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589-2026</t>
        </is>
      </c>
      <c r="B596" s="1" t="n">
        <v>46029</v>
      </c>
      <c r="C596" s="1" t="n">
        <v>46093</v>
      </c>
      <c r="D596" t="inlineStr">
        <is>
          <t>NORRBOTTENS LÄN</t>
        </is>
      </c>
      <c r="E596" t="inlineStr">
        <is>
          <t>KALIX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20801-2025</t>
        </is>
      </c>
      <c r="B597" s="1" t="n">
        <v>45776</v>
      </c>
      <c r="C597" s="1" t="n">
        <v>46093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20895-2025</t>
        </is>
      </c>
      <c r="B598" s="1" t="n">
        <v>45777.39760416667</v>
      </c>
      <c r="C598" s="1" t="n">
        <v>46093</v>
      </c>
      <c r="D598" t="inlineStr">
        <is>
          <t>NORRBOTTENS LÄN</t>
        </is>
      </c>
      <c r="E598" t="inlineStr">
        <is>
          <t>KALIX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1003-2026</t>
        </is>
      </c>
      <c r="B599" s="1" t="n">
        <v>46030</v>
      </c>
      <c r="C599" s="1" t="n">
        <v>46093</v>
      </c>
      <c r="D599" t="inlineStr">
        <is>
          <t>NORRBOTTENS LÄN</t>
        </is>
      </c>
      <c r="E599" t="inlineStr">
        <is>
          <t>KALIX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618-2026</t>
        </is>
      </c>
      <c r="B600" s="1" t="n">
        <v>46029.54219907407</v>
      </c>
      <c r="C600" s="1" t="n">
        <v>46093</v>
      </c>
      <c r="D600" t="inlineStr">
        <is>
          <t>NORRBOTTENS LÄN</t>
        </is>
      </c>
      <c r="E600" t="inlineStr">
        <is>
          <t>KALIX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626-2026</t>
        </is>
      </c>
      <c r="B601" s="1" t="n">
        <v>46029.55248842593</v>
      </c>
      <c r="C601" s="1" t="n">
        <v>46093</v>
      </c>
      <c r="D601" t="inlineStr">
        <is>
          <t>NORRBOTTENS LÄN</t>
        </is>
      </c>
      <c r="E601" t="inlineStr">
        <is>
          <t>KALIX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630-2026</t>
        </is>
      </c>
      <c r="B602" s="1" t="n">
        <v>46029.55306712963</v>
      </c>
      <c r="C602" s="1" t="n">
        <v>46093</v>
      </c>
      <c r="D602" t="inlineStr">
        <is>
          <t>NORRBOTTENS LÄN</t>
        </is>
      </c>
      <c r="E602" t="inlineStr">
        <is>
          <t>KALIX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9966-2026</t>
        </is>
      </c>
      <c r="B603" s="1" t="n">
        <v>46073.51428240741</v>
      </c>
      <c r="C603" s="1" t="n">
        <v>46093</v>
      </c>
      <c r="D603" t="inlineStr">
        <is>
          <t>NORRBOTTENS LÄN</t>
        </is>
      </c>
      <c r="E603" t="inlineStr">
        <is>
          <t>KALIX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21875-2025</t>
        </is>
      </c>
      <c r="B604" s="1" t="n">
        <v>45784</v>
      </c>
      <c r="C604" s="1" t="n">
        <v>46093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1242-2026</t>
        </is>
      </c>
      <c r="B605" s="1" t="n">
        <v>46031.42508101852</v>
      </c>
      <c r="C605" s="1" t="n">
        <v>46093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1243-2026</t>
        </is>
      </c>
      <c r="B606" s="1" t="n">
        <v>46031.42599537037</v>
      </c>
      <c r="C606" s="1" t="n">
        <v>46093</v>
      </c>
      <c r="D606" t="inlineStr">
        <is>
          <t>NORRBOTTENS LÄN</t>
        </is>
      </c>
      <c r="E606" t="inlineStr">
        <is>
          <t>KALIX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1298-2026</t>
        </is>
      </c>
      <c r="B607" s="1" t="n">
        <v>46031.52017361111</v>
      </c>
      <c r="C607" s="1" t="n">
        <v>46093</v>
      </c>
      <c r="D607" t="inlineStr">
        <is>
          <t>NORRBOTTENS LÄN</t>
        </is>
      </c>
      <c r="E607" t="inlineStr">
        <is>
          <t>KALIX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13380-2023</t>
        </is>
      </c>
      <c r="B608" s="1" t="n">
        <v>45005</v>
      </c>
      <c r="C608" s="1" t="n">
        <v>46093</v>
      </c>
      <c r="D608" t="inlineStr">
        <is>
          <t>NORRBOTTENS LÄN</t>
        </is>
      </c>
      <c r="E608" t="inlineStr">
        <is>
          <t>KALIX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16046-2024</t>
        </is>
      </c>
      <c r="B609" s="1" t="n">
        <v>45405</v>
      </c>
      <c r="C609" s="1" t="n">
        <v>46093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22216-2025</t>
        </is>
      </c>
      <c r="B610" s="1" t="n">
        <v>45785.65818287037</v>
      </c>
      <c r="C610" s="1" t="n">
        <v>46093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20.9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9968-2026</t>
        </is>
      </c>
      <c r="B611" s="1" t="n">
        <v>46073.51787037037</v>
      </c>
      <c r="C611" s="1" t="n">
        <v>46093</v>
      </c>
      <c r="D611" t="inlineStr">
        <is>
          <t>NORRBOTTENS LÄN</t>
        </is>
      </c>
      <c r="E611" t="inlineStr">
        <is>
          <t>KALIX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62525-2022</t>
        </is>
      </c>
      <c r="B612" s="1" t="n">
        <v>44917</v>
      </c>
      <c r="C612" s="1" t="n">
        <v>46093</v>
      </c>
      <c r="D612" t="inlineStr">
        <is>
          <t>NORRBOTTENS LÄN</t>
        </is>
      </c>
      <c r="E612" t="inlineStr">
        <is>
          <t>KALIX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15823-2025</t>
        </is>
      </c>
      <c r="B613" s="1" t="n">
        <v>45748</v>
      </c>
      <c r="C613" s="1" t="n">
        <v>46093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2336-2026</t>
        </is>
      </c>
      <c r="B614" s="1" t="n">
        <v>46036.61466435185</v>
      </c>
      <c r="C614" s="1" t="n">
        <v>46093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1957-2026</t>
        </is>
      </c>
      <c r="B615" s="1" t="n">
        <v>46035.61501157407</v>
      </c>
      <c r="C615" s="1" t="n">
        <v>46093</v>
      </c>
      <c r="D615" t="inlineStr">
        <is>
          <t>NORRBOTTENS LÄN</t>
        </is>
      </c>
      <c r="E615" t="inlineStr">
        <is>
          <t>KALIX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23027-2025</t>
        </is>
      </c>
      <c r="B616" s="1" t="n">
        <v>45790.65712962963</v>
      </c>
      <c r="C616" s="1" t="n">
        <v>46093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1973-2026</t>
        </is>
      </c>
      <c r="B617" s="1" t="n">
        <v>46035.64942129629</v>
      </c>
      <c r="C617" s="1" t="n">
        <v>46093</v>
      </c>
      <c r="D617" t="inlineStr">
        <is>
          <t>NORRBOTTENS LÄN</t>
        </is>
      </c>
      <c r="E617" t="inlineStr">
        <is>
          <t>KALIX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22618-2025</t>
        </is>
      </c>
      <c r="B618" s="1" t="n">
        <v>45789.42767361111</v>
      </c>
      <c r="C618" s="1" t="n">
        <v>46093</v>
      </c>
      <c r="D618" t="inlineStr">
        <is>
          <t>NORRBOTTENS LÄN</t>
        </is>
      </c>
      <c r="E618" t="inlineStr">
        <is>
          <t>KALIX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23028-2025</t>
        </is>
      </c>
      <c r="B619" s="1" t="n">
        <v>45790.65724537037</v>
      </c>
      <c r="C619" s="1" t="n">
        <v>46093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1979-2026</t>
        </is>
      </c>
      <c r="B620" s="1" t="n">
        <v>46035.65393518518</v>
      </c>
      <c r="C620" s="1" t="n">
        <v>46093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19527-2024</t>
        </is>
      </c>
      <c r="B621" s="1" t="n">
        <v>45429</v>
      </c>
      <c r="C621" s="1" t="n">
        <v>46093</v>
      </c>
      <c r="D621" t="inlineStr">
        <is>
          <t>NORRBOTTENS LÄN</t>
        </is>
      </c>
      <c r="E621" t="inlineStr">
        <is>
          <t>KALIX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62443-2023</t>
        </is>
      </c>
      <c r="B622" s="1" t="n">
        <v>45268</v>
      </c>
      <c r="C622" s="1" t="n">
        <v>46093</v>
      </c>
      <c r="D622" t="inlineStr">
        <is>
          <t>NORRBOTTENS LÄN</t>
        </is>
      </c>
      <c r="E622" t="inlineStr">
        <is>
          <t>KALIX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23647-2025</t>
        </is>
      </c>
      <c r="B623" s="1" t="n">
        <v>45792.6985300926</v>
      </c>
      <c r="C623" s="1" t="n">
        <v>46093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23089-2025</t>
        </is>
      </c>
      <c r="B624" s="1" t="n">
        <v>45791.3437037037</v>
      </c>
      <c r="C624" s="1" t="n">
        <v>46093</v>
      </c>
      <c r="D624" t="inlineStr">
        <is>
          <t>NORRBOTTENS LÄN</t>
        </is>
      </c>
      <c r="E624" t="inlineStr">
        <is>
          <t>KALIX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10547-2026</t>
        </is>
      </c>
      <c r="B625" s="1" t="n">
        <v>46077</v>
      </c>
      <c r="C625" s="1" t="n">
        <v>46093</v>
      </c>
      <c r="D625" t="inlineStr">
        <is>
          <t>NORRBOTTENS LÄN</t>
        </is>
      </c>
      <c r="E625" t="inlineStr">
        <is>
          <t>KALIX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23297-2025</t>
        </is>
      </c>
      <c r="B626" s="1" t="n">
        <v>45791.59445601852</v>
      </c>
      <c r="C626" s="1" t="n">
        <v>46093</v>
      </c>
      <c r="D626" t="inlineStr">
        <is>
          <t>NORRBOTTENS LÄN</t>
        </is>
      </c>
      <c r="E626" t="inlineStr">
        <is>
          <t>KALIX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23342-2025</t>
        </is>
      </c>
      <c r="B627" s="1" t="n">
        <v>45791.65684027778</v>
      </c>
      <c r="C627" s="1" t="n">
        <v>46093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HYPERLINK("https://klasma.github.io/Logging_2514/knärot/A 23342-2025 karta knärot.png", "A 23342-2025")</f>
        <v/>
      </c>
      <c r="V627">
        <f>HYPERLINK("https://klasma.github.io/Logging_2514/klagomål/A 23342-2025 FSC-klagomål.docx", "A 23342-2025")</f>
        <v/>
      </c>
      <c r="W627">
        <f>HYPERLINK("https://klasma.github.io/Logging_2514/klagomålsmail/A 23342-2025 FSC-klagomål mail.docx", "A 23342-2025")</f>
        <v/>
      </c>
      <c r="X627">
        <f>HYPERLINK("https://klasma.github.io/Logging_2514/tillsyn/A 23342-2025 tillsynsbegäran.docx", "A 23342-2025")</f>
        <v/>
      </c>
      <c r="Y627">
        <f>HYPERLINK("https://klasma.github.io/Logging_2514/tillsynsmail/A 23342-2025 tillsynsbegäran mail.docx", "A 23342-2025")</f>
        <v/>
      </c>
    </row>
    <row r="628" ht="15" customHeight="1">
      <c r="A628" t="inlineStr">
        <is>
          <t>A 3299-2026</t>
        </is>
      </c>
      <c r="B628" s="1" t="n">
        <v>46041.65288194444</v>
      </c>
      <c r="C628" s="1" t="n">
        <v>46093</v>
      </c>
      <c r="D628" t="inlineStr">
        <is>
          <t>NORRBOTTENS LÄN</t>
        </is>
      </c>
      <c r="E628" t="inlineStr">
        <is>
          <t>KALIX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11401-2026</t>
        </is>
      </c>
      <c r="B629" s="1" t="n">
        <v>46083.44736111111</v>
      </c>
      <c r="C629" s="1" t="n">
        <v>46093</v>
      </c>
      <c r="D629" t="inlineStr">
        <is>
          <t>NORRBOTTENS LÄN</t>
        </is>
      </c>
      <c r="E629" t="inlineStr">
        <is>
          <t>KALIX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3254-2026</t>
        </is>
      </c>
      <c r="B630" s="1" t="n">
        <v>46041.58980324074</v>
      </c>
      <c r="C630" s="1" t="n">
        <v>46093</v>
      </c>
      <c r="D630" t="inlineStr">
        <is>
          <t>NORRBOTTENS LÄN</t>
        </is>
      </c>
      <c r="E630" t="inlineStr">
        <is>
          <t>KALIX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23972-2025</t>
        </is>
      </c>
      <c r="B631" s="1" t="n">
        <v>45796.38576388889</v>
      </c>
      <c r="C631" s="1" t="n">
        <v>46093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24153-2025</t>
        </is>
      </c>
      <c r="B632" s="1" t="n">
        <v>45796</v>
      </c>
      <c r="C632" s="1" t="n">
        <v>46093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23879-2025</t>
        </is>
      </c>
      <c r="B633" s="1" t="n">
        <v>45793</v>
      </c>
      <c r="C633" s="1" t="n">
        <v>46093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11327-2026</t>
        </is>
      </c>
      <c r="B634" s="1" t="n">
        <v>46081.4615162037</v>
      </c>
      <c r="C634" s="1" t="n">
        <v>46093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11396-2026</t>
        </is>
      </c>
      <c r="B635" s="1" t="n">
        <v>46083.44049768519</v>
      </c>
      <c r="C635" s="1" t="n">
        <v>46093</v>
      </c>
      <c r="D635" t="inlineStr">
        <is>
          <t>NORRBOTTENS LÄN</t>
        </is>
      </c>
      <c r="E635" t="inlineStr">
        <is>
          <t>KALIX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3295-2026</t>
        </is>
      </c>
      <c r="B636" s="1" t="n">
        <v>46041.6484375</v>
      </c>
      <c r="C636" s="1" t="n">
        <v>46093</v>
      </c>
      <c r="D636" t="inlineStr">
        <is>
          <t>NORRBOTTENS LÄN</t>
        </is>
      </c>
      <c r="E636" t="inlineStr">
        <is>
          <t>KALIX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24622-2025</t>
        </is>
      </c>
      <c r="B637" s="1" t="n">
        <v>45798.59416666667</v>
      </c>
      <c r="C637" s="1" t="n">
        <v>46093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11938-2026</t>
        </is>
      </c>
      <c r="B638" s="1" t="n">
        <v>46085.59118055556</v>
      </c>
      <c r="C638" s="1" t="n">
        <v>46093</v>
      </c>
      <c r="D638" t="inlineStr">
        <is>
          <t>NORRBOTTENS LÄN</t>
        </is>
      </c>
      <c r="E638" t="inlineStr">
        <is>
          <t>KALIX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24625-2025</t>
        </is>
      </c>
      <c r="B639" s="1" t="n">
        <v>45798.59457175926</v>
      </c>
      <c r="C639" s="1" t="n">
        <v>46093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24626-2025</t>
        </is>
      </c>
      <c r="B640" s="1" t="n">
        <v>45798.59459490741</v>
      </c>
      <c r="C640" s="1" t="n">
        <v>46093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41131-2023</t>
        </is>
      </c>
      <c r="B641" s="1" t="n">
        <v>45173</v>
      </c>
      <c r="C641" s="1" t="n">
        <v>46093</v>
      </c>
      <c r="D641" t="inlineStr">
        <is>
          <t>NORRBOTTENS LÄN</t>
        </is>
      </c>
      <c r="E641" t="inlineStr">
        <is>
          <t>KALIX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24992-2025</t>
        </is>
      </c>
      <c r="B642" s="1" t="n">
        <v>45799.61495370371</v>
      </c>
      <c r="C642" s="1" t="n">
        <v>46093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25034-2025</t>
        </is>
      </c>
      <c r="B643" s="1" t="n">
        <v>45799.65663194445</v>
      </c>
      <c r="C643" s="1" t="n">
        <v>46093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24888-2025</t>
        </is>
      </c>
      <c r="B644" s="1" t="n">
        <v>45799.51076388889</v>
      </c>
      <c r="C644" s="1" t="n">
        <v>46093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24890-2025</t>
        </is>
      </c>
      <c r="B645" s="1" t="n">
        <v>45799.51096064815</v>
      </c>
      <c r="C645" s="1" t="n">
        <v>46093</v>
      </c>
      <c r="D645" t="inlineStr">
        <is>
          <t>NORRBOTTENS LÄN</t>
        </is>
      </c>
      <c r="E645" t="inlineStr">
        <is>
          <t>KALIX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24994-2025</t>
        </is>
      </c>
      <c r="B646" s="1" t="n">
        <v>45799.61538194444</v>
      </c>
      <c r="C646" s="1" t="n">
        <v>46093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61104-2024</t>
        </is>
      </c>
      <c r="B647" s="1" t="n">
        <v>45645.55509259259</v>
      </c>
      <c r="C647" s="1" t="n">
        <v>46093</v>
      </c>
      <c r="D647" t="inlineStr">
        <is>
          <t>NORRBOTTENS LÄN</t>
        </is>
      </c>
      <c r="E647" t="inlineStr">
        <is>
          <t>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3614-2025</t>
        </is>
      </c>
      <c r="B648" s="1" t="n">
        <v>45681.36236111111</v>
      </c>
      <c r="C648" s="1" t="n">
        <v>46093</v>
      </c>
      <c r="D648" t="inlineStr">
        <is>
          <t>NORRBOTTENS LÄN</t>
        </is>
      </c>
      <c r="E648" t="inlineStr">
        <is>
          <t>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25014-2025</t>
        </is>
      </c>
      <c r="B649" s="1" t="n">
        <v>45799.63135416667</v>
      </c>
      <c r="C649" s="1" t="n">
        <v>46093</v>
      </c>
      <c r="D649" t="inlineStr">
        <is>
          <t>NORRBOTTENS LÄN</t>
        </is>
      </c>
      <c r="E649" t="inlineStr">
        <is>
          <t>KALIX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24874-2025</t>
        </is>
      </c>
      <c r="B650" s="1" t="n">
        <v>45799.49063657408</v>
      </c>
      <c r="C650" s="1" t="n">
        <v>46093</v>
      </c>
      <c r="D650" t="inlineStr">
        <is>
          <t>NORRBOTTENS LÄN</t>
        </is>
      </c>
      <c r="E650" t="inlineStr">
        <is>
          <t>KALIX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9887-2024</t>
        </is>
      </c>
      <c r="B651" s="1" t="n">
        <v>45363.46945601852</v>
      </c>
      <c r="C651" s="1" t="n">
        <v>46093</v>
      </c>
      <c r="D651" t="inlineStr">
        <is>
          <t>NORRBOTTENS LÄN</t>
        </is>
      </c>
      <c r="E651" t="inlineStr">
        <is>
          <t>KALIX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25005-2025</t>
        </is>
      </c>
      <c r="B652" s="1" t="n">
        <v>45799.6247337963</v>
      </c>
      <c r="C652" s="1" t="n">
        <v>46093</v>
      </c>
      <c r="D652" t="inlineStr">
        <is>
          <t>NORRBOTTENS LÄN</t>
        </is>
      </c>
      <c r="E652" t="inlineStr">
        <is>
          <t>KALIX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12394-2026</t>
        </is>
      </c>
      <c r="B653" s="1" t="n">
        <v>46090.38548611111</v>
      </c>
      <c r="C653" s="1" t="n">
        <v>46093</v>
      </c>
      <c r="D653" t="inlineStr">
        <is>
          <t>NORRBOTTENS LÄN</t>
        </is>
      </c>
      <c r="E653" t="inlineStr">
        <is>
          <t>KALIX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12579-2026</t>
        </is>
      </c>
      <c r="B654" s="1" t="n">
        <v>46090.67443287037</v>
      </c>
      <c r="C654" s="1" t="n">
        <v>46093</v>
      </c>
      <c r="D654" t="inlineStr">
        <is>
          <t>NORRBOTTENS LÄN</t>
        </is>
      </c>
      <c r="E654" t="inlineStr">
        <is>
          <t>KALIX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26249-2025</t>
        </is>
      </c>
      <c r="B655" s="1" t="n">
        <v>45805.57423611111</v>
      </c>
      <c r="C655" s="1" t="n">
        <v>46093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12485-2026</t>
        </is>
      </c>
      <c r="B656" s="1" t="n">
        <v>46090.5649537037</v>
      </c>
      <c r="C656" s="1" t="n">
        <v>46093</v>
      </c>
      <c r="D656" t="inlineStr">
        <is>
          <t>NORRBOTTENS LÄN</t>
        </is>
      </c>
      <c r="E656" t="inlineStr">
        <is>
          <t>KALIX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12581-2026</t>
        </is>
      </c>
      <c r="B657" s="1" t="n">
        <v>46090.67606481481</v>
      </c>
      <c r="C657" s="1" t="n">
        <v>46093</v>
      </c>
      <c r="D657" t="inlineStr">
        <is>
          <t>NORRBOTTENS LÄN</t>
        </is>
      </c>
      <c r="E657" t="inlineStr">
        <is>
          <t>KALIX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26699-2025</t>
        </is>
      </c>
      <c r="B658" s="1" t="n">
        <v>45810.44814814815</v>
      </c>
      <c r="C658" s="1" t="n">
        <v>46093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26825-2025</t>
        </is>
      </c>
      <c r="B659" s="1" t="n">
        <v>45810.64746527778</v>
      </c>
      <c r="C659" s="1" t="n">
        <v>46093</v>
      </c>
      <c r="D659" t="inlineStr">
        <is>
          <t>NORRBOTTENS LÄN</t>
        </is>
      </c>
      <c r="E659" t="inlineStr">
        <is>
          <t>KALIX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10600-2025</t>
        </is>
      </c>
      <c r="B660" s="1" t="n">
        <v>45721</v>
      </c>
      <c r="C660" s="1" t="n">
        <v>46093</v>
      </c>
      <c r="D660" t="inlineStr">
        <is>
          <t>NORRBOTTENS LÄN</t>
        </is>
      </c>
      <c r="E660" t="inlineStr">
        <is>
          <t>KALIX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3747-2024</t>
        </is>
      </c>
      <c r="B661" s="1" t="n">
        <v>45321</v>
      </c>
      <c r="C661" s="1" t="n">
        <v>46093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5398-2025</t>
        </is>
      </c>
      <c r="B662" s="1" t="n">
        <v>45692.63893518518</v>
      </c>
      <c r="C662" s="1" t="n">
        <v>46093</v>
      </c>
      <c r="D662" t="inlineStr">
        <is>
          <t>NORRBOTTENS LÄN</t>
        </is>
      </c>
      <c r="E662" t="inlineStr">
        <is>
          <t>KALIX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12606-2026</t>
        </is>
      </c>
      <c r="B663" s="1" t="n">
        <v>46091.36979166666</v>
      </c>
      <c r="C663" s="1" t="n">
        <v>46093</v>
      </c>
      <c r="D663" t="inlineStr">
        <is>
          <t>NORRBOTTENS LÄN</t>
        </is>
      </c>
      <c r="E663" t="inlineStr">
        <is>
          <t>KALIX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12601-2026</t>
        </is>
      </c>
      <c r="B664" s="1" t="n">
        <v>46091.3428587963</v>
      </c>
      <c r="C664" s="1" t="n">
        <v>46093</v>
      </c>
      <c r="D664" t="inlineStr">
        <is>
          <t>NORRBOTTENS LÄN</t>
        </is>
      </c>
      <c r="E664" t="inlineStr">
        <is>
          <t>KALIX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27198-2025</t>
        </is>
      </c>
      <c r="B665" s="1" t="n">
        <v>45812.38606481482</v>
      </c>
      <c r="C665" s="1" t="n">
        <v>46093</v>
      </c>
      <c r="D665" t="inlineStr">
        <is>
          <t>NORRBOTTENS LÄN</t>
        </is>
      </c>
      <c r="E665" t="inlineStr">
        <is>
          <t>KALIX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27067-2025</t>
        </is>
      </c>
      <c r="B666" s="1" t="n">
        <v>45811.63658564815</v>
      </c>
      <c r="C666" s="1" t="n">
        <v>46093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27101-2025</t>
        </is>
      </c>
      <c r="B667" s="1" t="n">
        <v>45811.69857638889</v>
      </c>
      <c r="C667" s="1" t="n">
        <v>46093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27102-2025</t>
        </is>
      </c>
      <c r="B668" s="1" t="n">
        <v>45811.69862268519</v>
      </c>
      <c r="C668" s="1" t="n">
        <v>46093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27103-2025</t>
        </is>
      </c>
      <c r="B669" s="1" t="n">
        <v>45811.69864583333</v>
      </c>
      <c r="C669" s="1" t="n">
        <v>46093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27462-2025</t>
        </is>
      </c>
      <c r="B670" s="1" t="n">
        <v>45813.34603009259</v>
      </c>
      <c r="C670" s="1" t="n">
        <v>46093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12851-2026</t>
        </is>
      </c>
      <c r="B671" s="1" t="n">
        <v>46092.46946759259</v>
      </c>
      <c r="C671" s="1" t="n">
        <v>46093</v>
      </c>
      <c r="D671" t="inlineStr">
        <is>
          <t>NORRBOTTENS LÄN</t>
        </is>
      </c>
      <c r="E671" t="inlineStr">
        <is>
          <t>KALIX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12626-2026</t>
        </is>
      </c>
      <c r="B672" s="1" t="n">
        <v>46091.43984953704</v>
      </c>
      <c r="C672" s="1" t="n">
        <v>46093</v>
      </c>
      <c r="D672" t="inlineStr">
        <is>
          <t>NORRBOTTENS LÄN</t>
        </is>
      </c>
      <c r="E672" t="inlineStr">
        <is>
          <t>KALIX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27787-2025</t>
        </is>
      </c>
      <c r="B673" s="1" t="n">
        <v>45816.69780092593</v>
      </c>
      <c r="C673" s="1" t="n">
        <v>46093</v>
      </c>
      <c r="D673" t="inlineStr">
        <is>
          <t>NORRBOTTENS LÄN</t>
        </is>
      </c>
      <c r="E673" t="inlineStr">
        <is>
          <t>KALIX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27745-2025</t>
        </is>
      </c>
      <c r="B674" s="1" t="n">
        <v>45815.63855324074</v>
      </c>
      <c r="C674" s="1" t="n">
        <v>46093</v>
      </c>
      <c r="D674" t="inlineStr">
        <is>
          <t>NORRBOTTENS LÄN</t>
        </is>
      </c>
      <c r="E674" t="inlineStr">
        <is>
          <t>KALIX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27751-2025</t>
        </is>
      </c>
      <c r="B675" s="1" t="n">
        <v>45815.68703703704</v>
      </c>
      <c r="C675" s="1" t="n">
        <v>46093</v>
      </c>
      <c r="D675" t="inlineStr">
        <is>
          <t>NORRBOTTENS LÄN</t>
        </is>
      </c>
      <c r="E675" t="inlineStr">
        <is>
          <t>KALIX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27765-2025</t>
        </is>
      </c>
      <c r="B676" s="1" t="n">
        <v>45816.58614583333</v>
      </c>
      <c r="C676" s="1" t="n">
        <v>46093</v>
      </c>
      <c r="D676" t="inlineStr">
        <is>
          <t>NORRBOTTENS LÄN</t>
        </is>
      </c>
      <c r="E676" t="inlineStr">
        <is>
          <t>KALIX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27767-2025</t>
        </is>
      </c>
      <c r="B677" s="1" t="n">
        <v>45816.58965277778</v>
      </c>
      <c r="C677" s="1" t="n">
        <v>46093</v>
      </c>
      <c r="D677" t="inlineStr">
        <is>
          <t>NORRBOTTENS LÄN</t>
        </is>
      </c>
      <c r="E677" t="inlineStr">
        <is>
          <t>KALIX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27901-2025</t>
        </is>
      </c>
      <c r="B678" s="1" t="n">
        <v>45817.46548611111</v>
      </c>
      <c r="C678" s="1" t="n">
        <v>46093</v>
      </c>
      <c r="D678" t="inlineStr">
        <is>
          <t>NORRBOTTENS LÄN</t>
        </is>
      </c>
      <c r="E678" t="inlineStr">
        <is>
          <t>KALIX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27782-2025</t>
        </is>
      </c>
      <c r="B679" s="1" t="n">
        <v>45816.68195601852</v>
      </c>
      <c r="C679" s="1" t="n">
        <v>46093</v>
      </c>
      <c r="D679" t="inlineStr">
        <is>
          <t>NORRBOTTENS LÄN</t>
        </is>
      </c>
      <c r="E679" t="inlineStr">
        <is>
          <t>KALIX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27904-2025</t>
        </is>
      </c>
      <c r="B680" s="1" t="n">
        <v>45817.46805555555</v>
      </c>
      <c r="C680" s="1" t="n">
        <v>46093</v>
      </c>
      <c r="D680" t="inlineStr">
        <is>
          <t>NORRBOTTENS LÄN</t>
        </is>
      </c>
      <c r="E680" t="inlineStr">
        <is>
          <t>KALIX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27747-2025</t>
        </is>
      </c>
      <c r="B681" s="1" t="n">
        <v>45815.67590277778</v>
      </c>
      <c r="C681" s="1" t="n">
        <v>46093</v>
      </c>
      <c r="D681" t="inlineStr">
        <is>
          <t>NORRBOTTENS LÄN</t>
        </is>
      </c>
      <c r="E681" t="inlineStr">
        <is>
          <t>KALIX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27749-2025</t>
        </is>
      </c>
      <c r="B682" s="1" t="n">
        <v>45815.68055555555</v>
      </c>
      <c r="C682" s="1" t="n">
        <v>46093</v>
      </c>
      <c r="D682" t="inlineStr">
        <is>
          <t>NORRBOTTENS LÄN</t>
        </is>
      </c>
      <c r="E682" t="inlineStr">
        <is>
          <t>KALIX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27761-2025</t>
        </is>
      </c>
      <c r="B683" s="1" t="n">
        <v>45816.57137731482</v>
      </c>
      <c r="C683" s="1" t="n">
        <v>46093</v>
      </c>
      <c r="D683" t="inlineStr">
        <is>
          <t>NORRBOTTENS LÄN</t>
        </is>
      </c>
      <c r="E683" t="inlineStr">
        <is>
          <t>KALIX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27764-2025</t>
        </is>
      </c>
      <c r="B684" s="1" t="n">
        <v>45816.58204861111</v>
      </c>
      <c r="C684" s="1" t="n">
        <v>46093</v>
      </c>
      <c r="D684" t="inlineStr">
        <is>
          <t>NORRBOTTENS LÄN</t>
        </is>
      </c>
      <c r="E684" t="inlineStr">
        <is>
          <t>KALIX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27771-2025</t>
        </is>
      </c>
      <c r="B685" s="1" t="n">
        <v>45816.63277777778</v>
      </c>
      <c r="C685" s="1" t="n">
        <v>46093</v>
      </c>
      <c r="D685" t="inlineStr">
        <is>
          <t>NORRBOTTENS LÄN</t>
        </is>
      </c>
      <c r="E685" t="inlineStr">
        <is>
          <t>KALIX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28001-2025</t>
        </is>
      </c>
      <c r="B686" s="1" t="n">
        <v>45817.59512731482</v>
      </c>
      <c r="C686" s="1" t="n">
        <v>46093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27752-2025</t>
        </is>
      </c>
      <c r="B687" s="1" t="n">
        <v>45815.69028935185</v>
      </c>
      <c r="C687" s="1" t="n">
        <v>46093</v>
      </c>
      <c r="D687" t="inlineStr">
        <is>
          <t>NORRBOTTENS LÄN</t>
        </is>
      </c>
      <c r="E687" t="inlineStr">
        <is>
          <t>KALIX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27763-2025</t>
        </is>
      </c>
      <c r="B688" s="1" t="n">
        <v>45816.57856481482</v>
      </c>
      <c r="C688" s="1" t="n">
        <v>46093</v>
      </c>
      <c r="D688" t="inlineStr">
        <is>
          <t>NORRBOTTENS LÄN</t>
        </is>
      </c>
      <c r="E688" t="inlineStr">
        <is>
          <t>KALIX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27779-2025</t>
        </is>
      </c>
      <c r="B689" s="1" t="n">
        <v>45816.65878472223</v>
      </c>
      <c r="C689" s="1" t="n">
        <v>46093</v>
      </c>
      <c r="D689" t="inlineStr">
        <is>
          <t>NORRBOTTENS LÄN</t>
        </is>
      </c>
      <c r="E689" t="inlineStr">
        <is>
          <t>KALIX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27762-2025</t>
        </is>
      </c>
      <c r="B690" s="1" t="n">
        <v>45816.57533564815</v>
      </c>
      <c r="C690" s="1" t="n">
        <v>46093</v>
      </c>
      <c r="D690" t="inlineStr">
        <is>
          <t>NORRBOTTENS LÄN</t>
        </is>
      </c>
      <c r="E690" t="inlineStr">
        <is>
          <t>KALIX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27772-2025</t>
        </is>
      </c>
      <c r="B691" s="1" t="n">
        <v>45816.63599537037</v>
      </c>
      <c r="C691" s="1" t="n">
        <v>46093</v>
      </c>
      <c r="D691" t="inlineStr">
        <is>
          <t>NORRBOTTENS LÄN</t>
        </is>
      </c>
      <c r="E691" t="inlineStr">
        <is>
          <t>KALIX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27774-2025</t>
        </is>
      </c>
      <c r="B692" s="1" t="n">
        <v>45816.64159722222</v>
      </c>
      <c r="C692" s="1" t="n">
        <v>46093</v>
      </c>
      <c r="D692" t="inlineStr">
        <is>
          <t>NORRBOTTENS LÄN</t>
        </is>
      </c>
      <c r="E692" t="inlineStr">
        <is>
          <t>KALIX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27778-2025</t>
        </is>
      </c>
      <c r="B693" s="1" t="n">
        <v>45816.65658564815</v>
      </c>
      <c r="C693" s="1" t="n">
        <v>46093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27780-2025</t>
        </is>
      </c>
      <c r="B694" s="1" t="n">
        <v>45816.66149305556</v>
      </c>
      <c r="C694" s="1" t="n">
        <v>46093</v>
      </c>
      <c r="D694" t="inlineStr">
        <is>
          <t>NORRBOTTENS LÄN</t>
        </is>
      </c>
      <c r="E694" t="inlineStr">
        <is>
          <t>KALIX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27781-2025</t>
        </is>
      </c>
      <c r="B695" s="1" t="n">
        <v>45816.66796296297</v>
      </c>
      <c r="C695" s="1" t="n">
        <v>46093</v>
      </c>
      <c r="D695" t="inlineStr">
        <is>
          <t>NORRBOTTENS LÄN</t>
        </is>
      </c>
      <c r="E695" t="inlineStr">
        <is>
          <t>KALIX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27783-2025</t>
        </is>
      </c>
      <c r="B696" s="1" t="n">
        <v>45816.68586805555</v>
      </c>
      <c r="C696" s="1" t="n">
        <v>46093</v>
      </c>
      <c r="D696" t="inlineStr">
        <is>
          <t>NORRBOTTENS LÄN</t>
        </is>
      </c>
      <c r="E696" t="inlineStr">
        <is>
          <t>KALIX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27784-2025</t>
        </is>
      </c>
      <c r="B697" s="1" t="n">
        <v>45816.69010416666</v>
      </c>
      <c r="C697" s="1" t="n">
        <v>46093</v>
      </c>
      <c r="D697" t="inlineStr">
        <is>
          <t>NORRBOTTENS LÄN</t>
        </is>
      </c>
      <c r="E697" t="inlineStr">
        <is>
          <t>KALIX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27768-2025</t>
        </is>
      </c>
      <c r="B698" s="1" t="n">
        <v>45816.59293981481</v>
      </c>
      <c r="C698" s="1" t="n">
        <v>46093</v>
      </c>
      <c r="D698" t="inlineStr">
        <is>
          <t>NORRBOTTENS LÄN</t>
        </is>
      </c>
      <c r="E698" t="inlineStr">
        <is>
          <t>KALIX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27770-2025</t>
        </is>
      </c>
      <c r="B699" s="1" t="n">
        <v>45816.62489583333</v>
      </c>
      <c r="C699" s="1" t="n">
        <v>46093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27773-2025</t>
        </is>
      </c>
      <c r="B700" s="1" t="n">
        <v>45816.63829861111</v>
      </c>
      <c r="C700" s="1" t="n">
        <v>46093</v>
      </c>
      <c r="D700" t="inlineStr">
        <is>
          <t>NORRBOTTENS LÄN</t>
        </is>
      </c>
      <c r="E700" t="inlineStr">
        <is>
          <t>KALIX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27786-2025</t>
        </is>
      </c>
      <c r="B701" s="1" t="n">
        <v>45816.69568287037</v>
      </c>
      <c r="C701" s="1" t="n">
        <v>46093</v>
      </c>
      <c r="D701" t="inlineStr">
        <is>
          <t>NORRBOTTENS LÄN</t>
        </is>
      </c>
      <c r="E701" t="inlineStr">
        <is>
          <t>KALIX</t>
        </is>
      </c>
      <c r="G701" t="n">
        <v>18.4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28617-2025</t>
        </is>
      </c>
      <c r="B702" s="1" t="n">
        <v>45819.60979166667</v>
      </c>
      <c r="C702" s="1" t="n">
        <v>46093</v>
      </c>
      <c r="D702" t="inlineStr">
        <is>
          <t>NORRBOTTENS LÄN</t>
        </is>
      </c>
      <c r="E702" t="inlineStr">
        <is>
          <t>KALIX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28846-2025</t>
        </is>
      </c>
      <c r="B703" s="1" t="n">
        <v>45820.57342592593</v>
      </c>
      <c r="C703" s="1" t="n">
        <v>46093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28847-2025</t>
        </is>
      </c>
      <c r="B704" s="1" t="n">
        <v>45820.57344907407</v>
      </c>
      <c r="C704" s="1" t="n">
        <v>46093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29625-2025</t>
        </is>
      </c>
      <c r="B705" s="1" t="n">
        <v>45825.44418981481</v>
      </c>
      <c r="C705" s="1" t="n">
        <v>46093</v>
      </c>
      <c r="D705" t="inlineStr">
        <is>
          <t>NORRBOTTENS LÄN</t>
        </is>
      </c>
      <c r="E705" t="inlineStr">
        <is>
          <t>KALIX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29655-2025</t>
        </is>
      </c>
      <c r="B706" s="1" t="n">
        <v>45825.4837962963</v>
      </c>
      <c r="C706" s="1" t="n">
        <v>46093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30164-2025</t>
        </is>
      </c>
      <c r="B707" s="1" t="n">
        <v>45827.32819444445</v>
      </c>
      <c r="C707" s="1" t="n">
        <v>46093</v>
      </c>
      <c r="D707" t="inlineStr">
        <is>
          <t>NORRBOTTENS LÄN</t>
        </is>
      </c>
      <c r="E707" t="inlineStr">
        <is>
          <t>KALIX</t>
        </is>
      </c>
      <c r="G707" t="n">
        <v>26.1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30232-2025</t>
        </is>
      </c>
      <c r="B708" s="1" t="n">
        <v>45827.38586805556</v>
      </c>
      <c r="C708" s="1" t="n">
        <v>46093</v>
      </c>
      <c r="D708" t="inlineStr">
        <is>
          <t>NORRBOTTENS LÄN</t>
        </is>
      </c>
      <c r="E708" t="inlineStr">
        <is>
          <t>KALIX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30387-2025</t>
        </is>
      </c>
      <c r="B709" s="1" t="n">
        <v>45827.57340277778</v>
      </c>
      <c r="C709" s="1" t="n">
        <v>46093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30715-2025</t>
        </is>
      </c>
      <c r="B710" s="1" t="n">
        <v>45831.55346064815</v>
      </c>
      <c r="C710" s="1" t="n">
        <v>46093</v>
      </c>
      <c r="D710" t="inlineStr">
        <is>
          <t>NORRBOTTENS LÄN</t>
        </is>
      </c>
      <c r="E710" t="inlineStr">
        <is>
          <t>KALIX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31036-2025</t>
        </is>
      </c>
      <c r="B711" s="1" t="n">
        <v>45832.54734953704</v>
      </c>
      <c r="C711" s="1" t="n">
        <v>46093</v>
      </c>
      <c r="D711" t="inlineStr">
        <is>
          <t>NORRBOTTENS LÄN</t>
        </is>
      </c>
      <c r="E711" t="inlineStr">
        <is>
          <t>KALIX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31209-2025</t>
        </is>
      </c>
      <c r="B712" s="1" t="n">
        <v>45832.7091087963</v>
      </c>
      <c r="C712" s="1" t="n">
        <v>46093</v>
      </c>
      <c r="D712" t="inlineStr">
        <is>
          <t>NORRBOTTENS LÄN</t>
        </is>
      </c>
      <c r="E712" t="inlineStr">
        <is>
          <t>KALIX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19627-2025</t>
        </is>
      </c>
      <c r="B713" s="1" t="n">
        <v>45770</v>
      </c>
      <c r="C713" s="1" t="n">
        <v>46093</v>
      </c>
      <c r="D713" t="inlineStr">
        <is>
          <t>NORRBOTTENS LÄN</t>
        </is>
      </c>
      <c r="E713" t="inlineStr">
        <is>
          <t>KALIX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32241-2025</t>
        </is>
      </c>
      <c r="B714" s="1" t="n">
        <v>45835.61546296296</v>
      </c>
      <c r="C714" s="1" t="n">
        <v>46093</v>
      </c>
      <c r="D714" t="inlineStr">
        <is>
          <t>NORRBOTTENS LÄN</t>
        </is>
      </c>
      <c r="E714" t="inlineStr">
        <is>
          <t>KALIX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32242-2025</t>
        </is>
      </c>
      <c r="B715" s="1" t="n">
        <v>45835.61557870371</v>
      </c>
      <c r="C715" s="1" t="n">
        <v>46093</v>
      </c>
      <c r="D715" t="inlineStr">
        <is>
          <t>NORRBOTTENS LÄN</t>
        </is>
      </c>
      <c r="E715" t="inlineStr">
        <is>
          <t>KALIX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32244-2025</t>
        </is>
      </c>
      <c r="B716" s="1" t="n">
        <v>45835.61568287037</v>
      </c>
      <c r="C716" s="1" t="n">
        <v>46093</v>
      </c>
      <c r="D716" t="inlineStr">
        <is>
          <t>NORRBOTTENS LÄN</t>
        </is>
      </c>
      <c r="E716" t="inlineStr">
        <is>
          <t>KALIX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33619-2025</t>
        </is>
      </c>
      <c r="B717" s="1" t="n">
        <v>45841</v>
      </c>
      <c r="C717" s="1" t="n">
        <v>46093</v>
      </c>
      <c r="D717" t="inlineStr">
        <is>
          <t>NORRBOTTENS LÄN</t>
        </is>
      </c>
      <c r="E717" t="inlineStr">
        <is>
          <t>KALIX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33791-2025</t>
        </is>
      </c>
      <c r="B718" s="1" t="n">
        <v>45842.42744212963</v>
      </c>
      <c r="C718" s="1" t="n">
        <v>46093</v>
      </c>
      <c r="D718" t="inlineStr">
        <is>
          <t>NORRBOTTENS LÄN</t>
        </is>
      </c>
      <c r="E718" t="inlineStr">
        <is>
          <t>KALIX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33792-2025</t>
        </is>
      </c>
      <c r="B719" s="1" t="n">
        <v>45842.42745370371</v>
      </c>
      <c r="C719" s="1" t="n">
        <v>46093</v>
      </c>
      <c r="D719" t="inlineStr">
        <is>
          <t>NORRBOTTENS LÄN</t>
        </is>
      </c>
      <c r="E719" t="inlineStr">
        <is>
          <t>KALIX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2026-03-12T11:19:37Z</dcterms:created>
  <dcterms:modified xmlns:dcterms="http://purl.org/dc/terms/" xmlns:xsi="http://www.w3.org/2001/XMLSchema-instance" xsi:type="dcterms:W3CDTF">2026-03-12T11:19:38Z</dcterms:modified>
</cp:coreProperties>
</file>