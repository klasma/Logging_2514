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46303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46303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46303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46303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46303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46303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46303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46303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46303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46303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46303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23342-2025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46303</v>
      </c>
      <c r="F15" t="inlineStr">
        <is>
          <t>NORRBOTTENS LÄN</t>
        </is>
      </c>
      <c r="G15" t="inlineStr">
        <is>
          <t>KALIX</t>
        </is>
      </c>
      <c r="H15" t="inlineStr">
        <is>
          <t>SCA</t>
        </is>
      </c>
      <c r="I15" t="n">
        <v>7.3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Grönpyrola</t>
        </is>
      </c>
      <c r="W15">
        <f>HYPERLINK("https://klasma.github.io/Logging_2514/artfynd/A 23342-2025 artfynd.xlsx", "A 23342-2025")</f>
        <v/>
      </c>
      <c r="X15">
        <f>HYPERLINK("https://klasma.github.io/Logging_2514/kartor/A 23342-2025 karta.png", "A 23342-2025")</f>
        <v/>
      </c>
      <c r="Y15">
        <f>HYPERLINK("https://klasma.github.io/Logging_2514/kartor_geotiff/A 23342-2025 georefererad karta.tif", "A 23342-2025")</f>
        <v/>
      </c>
      <c r="Z15">
        <f>HYPERLINK("https://klasma.github.io/Logging_2514/knärot/A 23342-2025 karta knärot.png", "A 23342-2025")</f>
        <v/>
      </c>
      <c r="AA15">
        <f>HYPERLINK("https://klasma.github.io/Logging_2514/klagomål/A 23342-2025 FSC-klagomål.docx", "A 23342-2025")</f>
        <v/>
      </c>
      <c r="AB15">
        <f>HYPERLINK("https://klasma.github.io/Logging_2514/klagomålsmail/A 23342-2025 FSC-klagomål mail.docx", "A 23342-2025")</f>
        <v/>
      </c>
      <c r="AC15">
        <f>HYPERLINK("https://klasma.github.io/Logging_2514/tillsyn/A 23342-2025 tillsynsbegäran.docx", "A 23342-2025")</f>
        <v/>
      </c>
      <c r="AD15">
        <f>HYPERLINK("https://klasma.github.io/Logging_2514/tillsynsmail/A 23342-2025 tillsynsbegäran mail.docx", "A 23342-2025")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46303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46303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46303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46303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46303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46303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HYPERLINK("https://klasma.github.io/Logging_2514/artfynd/A 21552-2023 artfynd.xlsx", "A 21552-2023")</f>
        <v/>
      </c>
      <c r="X23">
        <f>HYPERLINK("https://klasma.github.io/Logging_2514/kartor/A 21552-2023 karta.png", "A 21552-2023")</f>
        <v/>
      </c>
      <c r="Y23">
        <f>HYPERLINK("https://klasma.github.io/Logging_2514/kartor_geotiff/A 21552-2023 georefererad karta.tif", "A 21552-2023")</f>
        <v/>
      </c>
      <c r="AA23">
        <f>HYPERLINK("https://klasma.github.io/Logging_2514/klagomål/A 21552-2023 FSC-klagomål.docx", "A 21552-2023")</f>
        <v/>
      </c>
      <c r="AB23">
        <f>HYPERLINK("https://klasma.github.io/Logging_2514/klagomålsmail/A 21552-2023 FSC-klagomål mail.docx", "A 21552-2023")</f>
        <v/>
      </c>
      <c r="AC23">
        <f>HYPERLINK("https://klasma.github.io/Logging_2514/tillsyn/A 21552-2023 tillsynsbegäran.docx", "A 21552-2023")</f>
        <v/>
      </c>
      <c r="AD23">
        <f>HYPERLINK("https://klasma.github.io/Logging_2514/tillsynsmail/A 21552-2023 tillsynsbegäran mail.docx", "A 21552-2023")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46303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46303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46303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46303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46303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46303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3387-2023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44945</v>
      </c>
      <c r="E31" s="1" t="n">
        <v>46303</v>
      </c>
      <c r="F31" t="inlineStr">
        <is>
          <t>NORRBOTTENS LÄN</t>
        </is>
      </c>
      <c r="G31" t="inlineStr">
        <is>
          <t>KALIX</t>
        </is>
      </c>
      <c r="I31" t="n">
        <v>2.9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Guckusko</t>
        </is>
      </c>
      <c r="W31">
        <f>HYPERLINK("https://klasma.github.io/Logging_2514/artfynd/A 3387-2023 artfynd.xlsx", "A 3387-2023")</f>
        <v/>
      </c>
      <c r="X31">
        <f>HYPERLINK("https://klasma.github.io/Logging_2514/kartor/A 3387-2023 karta.png", "A 3387-2023")</f>
        <v/>
      </c>
      <c r="Y31">
        <f>HYPERLINK("https://klasma.github.io/Logging_2514/kartor_geotiff/A 3387-2023 georefererad karta.tif", "A 3387-2023")</f>
        <v/>
      </c>
      <c r="AA31">
        <f>HYPERLINK("https://klasma.github.io/Logging_2514/klagomål/A 3387-2023 FSC-klagomål.docx", "A 3387-2023")</f>
        <v/>
      </c>
      <c r="AB31">
        <f>HYPERLINK("https://klasma.github.io/Logging_2514/klagomålsmail/A 3387-2023 FSC-klagomål mail.docx", "A 3387-2023")</f>
        <v/>
      </c>
      <c r="AC31">
        <f>HYPERLINK("https://klasma.github.io/Logging_2514/tillsyn/A 3387-2023 tillsynsbegäran.docx", "A 3387-2023")</f>
        <v/>
      </c>
      <c r="AD31">
        <f>HYPERLINK("https://klasma.github.io/Logging_2514/tillsynsmail/A 3387-2023 tillsynsbegäran mail.docx", "A 3387-2023")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46303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46303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46303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46303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46303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46303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46303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46303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46303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46303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46303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46303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46303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46303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46303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46303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46303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46303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46303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46303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46303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46303</v>
      </c>
      <c r="F53" t="inlineStr">
        <is>
          <t>NORRBOTTENS LÄN</t>
        </is>
      </c>
      <c r="G53" t="inlineStr">
        <is>
          <t>KALIX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46303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46303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38857-2022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44816</v>
      </c>
      <c r="E56" s="1" t="n">
        <v>46303</v>
      </c>
      <c r="F56" t="inlineStr">
        <is>
          <t>NORRBOTTENS LÄN</t>
        </is>
      </c>
      <c r="G56" t="inlineStr">
        <is>
          <t>KALIX</t>
        </is>
      </c>
      <c r="H56" t="inlineStr">
        <is>
          <t>Kommuner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25740-2022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46303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46303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45063</v>
      </c>
      <c r="E59" s="1" t="n">
        <v>46303</v>
      </c>
      <c r="F59" t="inlineStr">
        <is>
          <t>NORRBOTTENS LÄN</t>
        </is>
      </c>
      <c r="G59" t="inlineStr">
        <is>
          <t>KALIX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46303</v>
      </c>
      <c r="F60" t="inlineStr">
        <is>
          <t>NORRBOTTENS LÄN</t>
        </is>
      </c>
      <c r="G60" t="inlineStr">
        <is>
          <t>KALIX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46303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45190</v>
      </c>
      <c r="E62" s="1" t="n">
        <v>46303</v>
      </c>
      <c r="F62" t="inlineStr">
        <is>
          <t>NORRBOTTENS LÄN</t>
        </is>
      </c>
      <c r="G62" t="inlineStr">
        <is>
          <t>KALIX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47099-2023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45201</v>
      </c>
      <c r="E63" s="1" t="n">
        <v>46303</v>
      </c>
      <c r="F63" t="inlineStr">
        <is>
          <t>NORRBOTTENS LÄN</t>
        </is>
      </c>
      <c r="G63" t="inlineStr">
        <is>
          <t>KALIX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45044</v>
      </c>
      <c r="E64" s="1" t="n">
        <v>46303</v>
      </c>
      <c r="F64" t="inlineStr">
        <is>
          <t>NORRBOTTENS LÄN</t>
        </is>
      </c>
      <c r="G64" t="inlineStr">
        <is>
          <t>KALIX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46303</v>
      </c>
      <c r="F65" t="inlineStr">
        <is>
          <t>NORRBOTTENS LÄN</t>
        </is>
      </c>
      <c r="G65" t="inlineStr">
        <is>
          <t>KALIX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46303</v>
      </c>
      <c r="F66" t="inlineStr">
        <is>
          <t>NORRBOTTENS LÄN</t>
        </is>
      </c>
      <c r="G66" t="inlineStr">
        <is>
          <t>KALIX</t>
        </is>
      </c>
      <c r="H66" t="inlineStr">
        <is>
          <t>SCA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46303</v>
      </c>
      <c r="F67" t="inlineStr">
        <is>
          <t>NORRBOTTENS LÄN</t>
        </is>
      </c>
      <c r="G67" t="inlineStr">
        <is>
          <t>KALIX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46303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57631-2023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45246</v>
      </c>
      <c r="E69" s="1" t="n">
        <v>46303</v>
      </c>
      <c r="F69" t="inlineStr">
        <is>
          <t>NORRBOTTENS LÄN</t>
        </is>
      </c>
      <c r="G69" t="inlineStr">
        <is>
          <t>KALIX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45667</v>
      </c>
      <c r="E70" s="1" t="n">
        <v>46303</v>
      </c>
      <c r="F70" t="inlineStr">
        <is>
          <t>NORRBOTTENS LÄN</t>
        </is>
      </c>
      <c r="G70" t="inlineStr">
        <is>
          <t>KALIX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46303</v>
      </c>
      <c r="F71" t="inlineStr">
        <is>
          <t>NORRBOTTENS LÄN</t>
        </is>
      </c>
      <c r="G71" t="inlineStr">
        <is>
          <t>KALIX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45784</v>
      </c>
      <c r="E72" s="1" t="n">
        <v>46303</v>
      </c>
      <c r="F72" t="inlineStr">
        <is>
          <t>NORRBOTTENS LÄN</t>
        </is>
      </c>
      <c r="G72" t="inlineStr">
        <is>
          <t>KALIX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46303</v>
      </c>
      <c r="F73" t="inlineStr">
        <is>
          <t>NORRBOTTENS LÄN</t>
        </is>
      </c>
      <c r="G73" t="inlineStr">
        <is>
          <t>KALIX</t>
        </is>
      </c>
      <c r="I73" t="n">
        <v>13.5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22216-2025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45785</v>
      </c>
      <c r="E74" s="1" t="n">
        <v>46303</v>
      </c>
      <c r="F74" t="inlineStr">
        <is>
          <t>NORRBOTTENS LÄN</t>
        </is>
      </c>
      <c r="G74" t="inlineStr">
        <is>
          <t>KALIX</t>
        </is>
      </c>
      <c r="H74" t="inlineStr">
        <is>
          <t>SCA</t>
        </is>
      </c>
      <c r="I74" t="n">
        <v>20.9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45406</v>
      </c>
      <c r="E75" s="1" t="n">
        <v>46303</v>
      </c>
      <c r="F75" t="inlineStr">
        <is>
          <t>NORRBOTTENS LÄN</t>
        </is>
      </c>
      <c r="G75" t="inlineStr">
        <is>
          <t>KALIX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58392-2021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44488</v>
      </c>
      <c r="E76" s="1" t="n">
        <v>46303</v>
      </c>
      <c r="F76" t="inlineStr">
        <is>
          <t>NORRBOTTENS LÄN</t>
        </is>
      </c>
      <c r="G76" t="inlineStr">
        <is>
          <t>KALIX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20083-2023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45054</v>
      </c>
      <c r="E77" s="1" t="n">
        <v>46303</v>
      </c>
      <c r="F77" t="inlineStr">
        <is>
          <t>NORRBOTTENS LÄN</t>
        </is>
      </c>
      <c r="G77" t="inlineStr">
        <is>
          <t>KALIX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46303</v>
      </c>
      <c r="F78" t="inlineStr">
        <is>
          <t>NORRBOTTENS LÄN</t>
        </is>
      </c>
      <c r="G78" t="inlineStr">
        <is>
          <t>KALIX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46303</v>
      </c>
      <c r="F79" t="inlineStr">
        <is>
          <t>NORRBOTTENS LÄN</t>
        </is>
      </c>
      <c r="G79" t="inlineStr">
        <is>
          <t>KALIX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46303</v>
      </c>
      <c r="F80" t="inlineStr">
        <is>
          <t>NORRBOTTENS LÄN</t>
        </is>
      </c>
      <c r="G80" t="inlineStr">
        <is>
          <t>KALIX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46303</v>
      </c>
      <c r="F81" t="inlineStr">
        <is>
          <t>NORRBOTTENS LÄN</t>
        </is>
      </c>
      <c r="G81" t="inlineStr">
        <is>
          <t>KALIX</t>
        </is>
      </c>
      <c r="I81" t="n">
        <v>17.7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46303</v>
      </c>
      <c r="F82" t="inlineStr">
        <is>
          <t>NORRBOTTENS LÄN</t>
        </is>
      </c>
      <c r="G82" t="inlineStr">
        <is>
          <t>KALIX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46303</v>
      </c>
      <c r="F83" t="inlineStr">
        <is>
          <t>NORRBOTTENS LÄN</t>
        </is>
      </c>
      <c r="G83" t="inlineStr">
        <is>
          <t>KALIX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46303</v>
      </c>
      <c r="F84" t="inlineStr">
        <is>
          <t>NORRBOTTENS LÄN</t>
        </is>
      </c>
      <c r="G84" t="inlineStr">
        <is>
          <t>KALIX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46303</v>
      </c>
      <c r="F85" t="inlineStr">
        <is>
          <t>NORRBOTTENS LÄN</t>
        </is>
      </c>
      <c r="G85" t="inlineStr">
        <is>
          <t>KALIX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46303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46303</v>
      </c>
      <c r="F87" t="inlineStr">
        <is>
          <t>NORRBOTTENS LÄN</t>
        </is>
      </c>
      <c r="G87" t="inlineStr">
        <is>
          <t>KALIX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46303</v>
      </c>
      <c r="F88" t="inlineStr">
        <is>
          <t>NORRBOTTENS LÄN</t>
        </is>
      </c>
      <c r="G88" t="inlineStr">
        <is>
          <t>KALIX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46303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19527-2024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45429</v>
      </c>
      <c r="E90" s="1" t="n">
        <v>46303</v>
      </c>
      <c r="F90" t="inlineStr">
        <is>
          <t>NORRBOTTENS LÄN</t>
        </is>
      </c>
      <c r="G90" t="inlineStr">
        <is>
          <t>KALIX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45268</v>
      </c>
      <c r="E91" s="1" t="n">
        <v>46303</v>
      </c>
      <c r="F91" t="inlineStr">
        <is>
          <t>NORRBOTTENS LÄN</t>
        </is>
      </c>
      <c r="G91" t="inlineStr">
        <is>
          <t>KALIX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46303</v>
      </c>
      <c r="F92" t="inlineStr">
        <is>
          <t>NORRBOTTENS LÄN</t>
        </is>
      </c>
      <c r="G92" t="inlineStr">
        <is>
          <t>KALIX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45253</v>
      </c>
      <c r="E93" s="1" t="n">
        <v>46303</v>
      </c>
      <c r="F93" t="inlineStr">
        <is>
          <t>NORRBOTTENS LÄN</t>
        </is>
      </c>
      <c r="G93" t="inlineStr">
        <is>
          <t>KALIX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46303</v>
      </c>
      <c r="F94" t="inlineStr">
        <is>
          <t>NORRBOTTENS LÄN</t>
        </is>
      </c>
      <c r="G94" t="inlineStr">
        <is>
          <t>KALIX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69202-2021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46303</v>
      </c>
      <c r="F95" t="inlineStr">
        <is>
          <t>NORRBOTTENS LÄN</t>
        </is>
      </c>
      <c r="G95" t="inlineStr">
        <is>
          <t>KALIX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46303</v>
      </c>
      <c r="F96" t="inlineStr">
        <is>
          <t>NORRBOTTENS LÄN</t>
        </is>
      </c>
      <c r="G96" t="inlineStr">
        <is>
          <t>KALIX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46303</v>
      </c>
      <c r="F97" t="inlineStr">
        <is>
          <t>NORRBOTTENS LÄN</t>
        </is>
      </c>
      <c r="G97" t="inlineStr">
        <is>
          <t>KALIX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46303</v>
      </c>
      <c r="F98" t="inlineStr">
        <is>
          <t>NORRBOTTENS LÄN</t>
        </is>
      </c>
      <c r="G98" t="inlineStr">
        <is>
          <t>KALIX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46303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46303</v>
      </c>
      <c r="F100" t="inlineStr">
        <is>
          <t>NORRBOTTENS LÄN</t>
        </is>
      </c>
      <c r="G100" t="inlineStr">
        <is>
          <t>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46303</v>
      </c>
      <c r="F101" t="inlineStr">
        <is>
          <t>NORRBOTTENS LÄN</t>
        </is>
      </c>
      <c r="G101" t="inlineStr">
        <is>
          <t>KALIX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46303</v>
      </c>
      <c r="F102" t="inlineStr">
        <is>
          <t>NORRBOTTENS LÄN</t>
        </is>
      </c>
      <c r="G102" t="inlineStr">
        <is>
          <t>KALIX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46303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46303</v>
      </c>
      <c r="F104" t="inlineStr">
        <is>
          <t>NORRBOTTENS LÄN</t>
        </is>
      </c>
      <c r="G104" t="inlineStr">
        <is>
          <t>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46303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46303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46303</v>
      </c>
      <c r="F107" t="inlineStr">
        <is>
          <t>NORRBOTTENS LÄN</t>
        </is>
      </c>
      <c r="G107" t="inlineStr">
        <is>
          <t>KALIX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45295</v>
      </c>
      <c r="E108" s="1" t="n">
        <v>46303</v>
      </c>
      <c r="F108" t="inlineStr">
        <is>
          <t>NORRBOTTENS LÄN</t>
        </is>
      </c>
      <c r="G108" t="inlineStr">
        <is>
          <t>KALIX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46303</v>
      </c>
      <c r="F109" t="inlineStr">
        <is>
          <t>NORRBOTTENS LÄN</t>
        </is>
      </c>
      <c r="G109" t="inlineStr">
        <is>
          <t>KALIX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46303</v>
      </c>
      <c r="F110" t="inlineStr">
        <is>
          <t>NORRBOTTENS LÄN</t>
        </is>
      </c>
      <c r="G110" t="inlineStr">
        <is>
          <t>KALIX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46303</v>
      </c>
      <c r="F111" t="inlineStr">
        <is>
          <t>NORRBOTTENS LÄN</t>
        </is>
      </c>
      <c r="G111" t="inlineStr">
        <is>
          <t>KALIX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57513-2023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45243</v>
      </c>
      <c r="E112" s="1" t="n">
        <v>46303</v>
      </c>
      <c r="F112" t="inlineStr">
        <is>
          <t>NORRBOTTENS LÄN</t>
        </is>
      </c>
      <c r="G112" t="inlineStr">
        <is>
          <t>KALIX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44907</v>
      </c>
      <c r="E113" s="1" t="n">
        <v>46303</v>
      </c>
      <c r="F113" t="inlineStr">
        <is>
          <t>NORRBOTTENS LÄN</t>
        </is>
      </c>
      <c r="G113" t="inlineStr">
        <is>
          <t>KALIX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46303</v>
      </c>
      <c r="F114" t="inlineStr">
        <is>
          <t>NORRBOTTENS LÄN</t>
        </is>
      </c>
      <c r="G114" t="inlineStr">
        <is>
          <t>KALIX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46303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46303</v>
      </c>
      <c r="F116" t="inlineStr">
        <is>
          <t>NORRBOTTENS LÄN</t>
        </is>
      </c>
      <c r="G116" t="inlineStr">
        <is>
          <t>KALIX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46303</v>
      </c>
      <c r="F117" t="inlineStr">
        <is>
          <t>NORRBOTTENS LÄN</t>
        </is>
      </c>
      <c r="G117" t="inlineStr">
        <is>
          <t>KALIX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46303</v>
      </c>
      <c r="F118" t="inlineStr">
        <is>
          <t>NORRBOTTENS LÄN</t>
        </is>
      </c>
      <c r="G118" t="inlineStr">
        <is>
          <t>KALIX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46303</v>
      </c>
      <c r="F119" t="inlineStr">
        <is>
          <t>NORRBOTTENS LÄN</t>
        </is>
      </c>
      <c r="G119" t="inlineStr">
        <is>
          <t>KALIX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46303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17.9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46303</v>
      </c>
      <c r="F121" t="inlineStr">
        <is>
          <t>NORRBOTTENS LÄN</t>
        </is>
      </c>
      <c r="G121" t="inlineStr">
        <is>
          <t>KALIX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46303</v>
      </c>
      <c r="F122" t="inlineStr">
        <is>
          <t>NORRBOTTENS LÄN</t>
        </is>
      </c>
      <c r="G122" t="inlineStr">
        <is>
          <t>KALIX</t>
        </is>
      </c>
      <c r="I122" t="n">
        <v>12.3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46303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46303</v>
      </c>
      <c r="F124" t="inlineStr">
        <is>
          <t>NORRBOTTENS LÄN</t>
        </is>
      </c>
      <c r="G124" t="inlineStr">
        <is>
          <t>KALIX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46303</v>
      </c>
      <c r="F125" t="inlineStr">
        <is>
          <t>NORRBOTTENS LÄN</t>
        </is>
      </c>
      <c r="G125" t="inlineStr">
        <is>
          <t>KALIX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46303</v>
      </c>
      <c r="F126" t="inlineStr">
        <is>
          <t>NORRBOTTENS LÄN</t>
        </is>
      </c>
      <c r="G126" t="inlineStr">
        <is>
          <t>KALIX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45906</v>
      </c>
      <c r="E127" s="1" t="n">
        <v>46303</v>
      </c>
      <c r="F127" t="inlineStr">
        <is>
          <t>NORRBOTTENS LÄN</t>
        </is>
      </c>
      <c r="G127" t="inlineStr">
        <is>
          <t>KALIX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46303</v>
      </c>
      <c r="F128" t="inlineStr">
        <is>
          <t>NORRBOTTENS LÄN</t>
        </is>
      </c>
      <c r="G128" t="inlineStr">
        <is>
          <t>KALIX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46303</v>
      </c>
      <c r="F129" t="inlineStr">
        <is>
          <t>NORRBOTTENS LÄN</t>
        </is>
      </c>
      <c r="G129" t="inlineStr">
        <is>
          <t>KALIX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46303</v>
      </c>
      <c r="F130" t="inlineStr">
        <is>
          <t>NORRBOTTENS LÄN</t>
        </is>
      </c>
      <c r="G130" t="inlineStr">
        <is>
          <t>KALIX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46303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46303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46303</v>
      </c>
      <c r="F133" t="inlineStr">
        <is>
          <t>NORRBOTTENS LÄN</t>
        </is>
      </c>
      <c r="G133" t="inlineStr">
        <is>
          <t>KALIX</t>
        </is>
      </c>
      <c r="I133" t="n">
        <v>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44239-2025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46303</v>
      </c>
      <c r="F134" t="inlineStr">
        <is>
          <t>NORRBOTTENS LÄN</t>
        </is>
      </c>
      <c r="G134" t="inlineStr">
        <is>
          <t>KALIX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46303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46303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44350-2025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45916</v>
      </c>
      <c r="E137" s="1" t="n">
        <v>46303</v>
      </c>
      <c r="F137" t="inlineStr">
        <is>
          <t>NORRBOTTENS LÄN</t>
        </is>
      </c>
      <c r="G137" t="inlineStr">
        <is>
          <t>KALIX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46303</v>
      </c>
      <c r="F138" t="inlineStr">
        <is>
          <t>NORRBOTTENS LÄN</t>
        </is>
      </c>
      <c r="G138" t="inlineStr">
        <is>
          <t>KALIX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46303</v>
      </c>
      <c r="F139" t="inlineStr">
        <is>
          <t>NORRBOTTENS LÄN</t>
        </is>
      </c>
      <c r="G139" t="inlineStr">
        <is>
          <t>KALIX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62139-2023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45266</v>
      </c>
      <c r="E140" s="1" t="n">
        <v>46303</v>
      </c>
      <c r="F140" t="inlineStr">
        <is>
          <t>NORRBOTTENS LÄN</t>
        </is>
      </c>
      <c r="G140" t="inlineStr">
        <is>
          <t>KALIX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46303</v>
      </c>
      <c r="F141" t="inlineStr">
        <is>
          <t>NORRBOTTENS LÄN</t>
        </is>
      </c>
      <c r="G141" t="inlineStr">
        <is>
          <t>KALIX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46303</v>
      </c>
      <c r="F142" t="inlineStr">
        <is>
          <t>NORRBOTTENS LÄN</t>
        </is>
      </c>
      <c r="G142" t="inlineStr">
        <is>
          <t>KALIX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46303</v>
      </c>
      <c r="F143" t="inlineStr">
        <is>
          <t>NORRBOTTENS LÄN</t>
        </is>
      </c>
      <c r="G143" t="inlineStr">
        <is>
          <t>KALIX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46303</v>
      </c>
      <c r="F144" t="inlineStr">
        <is>
          <t>NORRBOTTENS LÄN</t>
        </is>
      </c>
      <c r="G144" t="inlineStr">
        <is>
          <t>KALIX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45247</v>
      </c>
      <c r="E145" s="1" t="n">
        <v>46303</v>
      </c>
      <c r="F145" t="inlineStr">
        <is>
          <t>NORRBOTTENS LÄN</t>
        </is>
      </c>
      <c r="G145" t="inlineStr">
        <is>
          <t>KALIX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46303</v>
      </c>
      <c r="F146" t="inlineStr">
        <is>
          <t>NORRBOTTENS LÄN</t>
        </is>
      </c>
      <c r="G146" t="inlineStr">
        <is>
          <t>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46303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46303</v>
      </c>
      <c r="F148" t="inlineStr">
        <is>
          <t>NORRBOTTENS LÄN</t>
        </is>
      </c>
      <c r="G148" t="inlineStr">
        <is>
          <t>KALIX</t>
        </is>
      </c>
      <c r="H148" t="inlineStr">
        <is>
          <t>Sveaskog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46303</v>
      </c>
      <c r="F149" t="inlineStr">
        <is>
          <t>NORRBOTTENS LÄN</t>
        </is>
      </c>
      <c r="G149" t="inlineStr">
        <is>
          <t>KALIX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46303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46303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46303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69886-2021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46303</v>
      </c>
      <c r="F153" t="inlineStr">
        <is>
          <t>NORRBOTTENS LÄN</t>
        </is>
      </c>
      <c r="G153" t="inlineStr">
        <is>
          <t>KALIX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46303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46303</v>
      </c>
      <c r="F155" t="inlineStr">
        <is>
          <t>NORRBOTTENS LÄN</t>
        </is>
      </c>
      <c r="G155" t="inlineStr">
        <is>
          <t>KALIX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46303</v>
      </c>
      <c r="F156" t="inlineStr">
        <is>
          <t>NORRBOTTENS LÄN</t>
        </is>
      </c>
      <c r="G156" t="inlineStr">
        <is>
          <t>KALIX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46303</v>
      </c>
      <c r="F157" t="inlineStr">
        <is>
          <t>NORRBOTTENS LÄN</t>
        </is>
      </c>
      <c r="G157" t="inlineStr">
        <is>
          <t>KALIX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45816</v>
      </c>
      <c r="E158" s="1" t="n">
        <v>46303</v>
      </c>
      <c r="F158" t="inlineStr">
        <is>
          <t>NORRBOTTENS LÄN</t>
        </is>
      </c>
      <c r="G158" t="inlineStr">
        <is>
          <t>KALIX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45815</v>
      </c>
      <c r="E159" s="1" t="n">
        <v>46303</v>
      </c>
      <c r="F159" t="inlineStr">
        <is>
          <t>NORRBOTTENS LÄN</t>
        </is>
      </c>
      <c r="G159" t="inlineStr">
        <is>
          <t>KALIX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45815</v>
      </c>
      <c r="E160" s="1" t="n">
        <v>46303</v>
      </c>
      <c r="F160" t="inlineStr">
        <is>
          <t>NORRBOTTENS LÄN</t>
        </is>
      </c>
      <c r="G160" t="inlineStr">
        <is>
          <t>KALIX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45816</v>
      </c>
      <c r="E161" s="1" t="n">
        <v>46303</v>
      </c>
      <c r="F161" t="inlineStr">
        <is>
          <t>NORRBOTTENS LÄN</t>
        </is>
      </c>
      <c r="G161" t="inlineStr">
        <is>
          <t>KALIX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45816</v>
      </c>
      <c r="E162" s="1" t="n">
        <v>46303</v>
      </c>
      <c r="F162" t="inlineStr">
        <is>
          <t>NORRBOTTENS LÄN</t>
        </is>
      </c>
      <c r="G162" t="inlineStr">
        <is>
          <t>KALIX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45816</v>
      </c>
      <c r="E163" s="1" t="n">
        <v>46303</v>
      </c>
      <c r="F163" t="inlineStr">
        <is>
          <t>NORRBOTTENS LÄN</t>
        </is>
      </c>
      <c r="G163" t="inlineStr">
        <is>
          <t>KALIX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45815</v>
      </c>
      <c r="E164" s="1" t="n">
        <v>46303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45815</v>
      </c>
      <c r="E165" s="1" t="n">
        <v>46303</v>
      </c>
      <c r="F165" t="inlineStr">
        <is>
          <t>NORRBOTTENS LÄN</t>
        </is>
      </c>
      <c r="G165" t="inlineStr">
        <is>
          <t>KALIX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45816</v>
      </c>
      <c r="E166" s="1" t="n">
        <v>46303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45816</v>
      </c>
      <c r="E167" s="1" t="n">
        <v>46303</v>
      </c>
      <c r="F167" t="inlineStr">
        <is>
          <t>NORRBOTTENS LÄN</t>
        </is>
      </c>
      <c r="G167" t="inlineStr">
        <is>
          <t>KALIX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45816</v>
      </c>
      <c r="E168" s="1" t="n">
        <v>46303</v>
      </c>
      <c r="F168" t="inlineStr">
        <is>
          <t>NORRBOTTENS LÄN</t>
        </is>
      </c>
      <c r="G168" t="inlineStr">
        <is>
          <t>KALIX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45815</v>
      </c>
      <c r="E169" s="1" t="n">
        <v>46303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45816</v>
      </c>
      <c r="E170" s="1" t="n">
        <v>46303</v>
      </c>
      <c r="F170" t="inlineStr">
        <is>
          <t>NORRBOTTENS LÄN</t>
        </is>
      </c>
      <c r="G170" t="inlineStr">
        <is>
          <t>KALIX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45816</v>
      </c>
      <c r="E171" s="1" t="n">
        <v>46303</v>
      </c>
      <c r="F171" t="inlineStr">
        <is>
          <t>NORRBOTTENS LÄN</t>
        </is>
      </c>
      <c r="G171" t="inlineStr">
        <is>
          <t>KALIX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45816</v>
      </c>
      <c r="E172" s="1" t="n">
        <v>46303</v>
      </c>
      <c r="F172" t="inlineStr">
        <is>
          <t>NORRBOTTENS LÄN</t>
        </is>
      </c>
      <c r="G172" t="inlineStr">
        <is>
          <t>KALIX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45816</v>
      </c>
      <c r="E173" s="1" t="n">
        <v>46303</v>
      </c>
      <c r="F173" t="inlineStr">
        <is>
          <t>NORRBOTTENS LÄN</t>
        </is>
      </c>
      <c r="G173" t="inlineStr">
        <is>
          <t>KALIX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45816</v>
      </c>
      <c r="E174" s="1" t="n">
        <v>46303</v>
      </c>
      <c r="F174" t="inlineStr">
        <is>
          <t>NORRBOTTENS LÄN</t>
        </is>
      </c>
      <c r="G174" t="inlineStr">
        <is>
          <t>KALIX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45816</v>
      </c>
      <c r="E175" s="1" t="n">
        <v>46303</v>
      </c>
      <c r="F175" t="inlineStr">
        <is>
          <t>NORRBOTTENS LÄN</t>
        </is>
      </c>
      <c r="G175" t="inlineStr">
        <is>
          <t>KALIX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45816</v>
      </c>
      <c r="E176" s="1" t="n">
        <v>46303</v>
      </c>
      <c r="F176" t="inlineStr">
        <is>
          <t>NORRBOTTENS LÄN</t>
        </is>
      </c>
      <c r="G176" t="inlineStr">
        <is>
          <t>KALIX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45816</v>
      </c>
      <c r="E177" s="1" t="n">
        <v>46303</v>
      </c>
      <c r="F177" t="inlineStr">
        <is>
          <t>NORRBOTTENS LÄN</t>
        </is>
      </c>
      <c r="G177" t="inlineStr">
        <is>
          <t>KALIX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45816</v>
      </c>
      <c r="E178" s="1" t="n">
        <v>46303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45816</v>
      </c>
      <c r="E179" s="1" t="n">
        <v>46303</v>
      </c>
      <c r="F179" t="inlineStr">
        <is>
          <t>NORRBOTTENS LÄN</t>
        </is>
      </c>
      <c r="G179" t="inlineStr">
        <is>
          <t>KALIX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45816</v>
      </c>
      <c r="E180" s="1" t="n">
        <v>46303</v>
      </c>
      <c r="F180" t="inlineStr">
        <is>
          <t>NORRBOTTENS LÄN</t>
        </is>
      </c>
      <c r="G180" t="inlineStr">
        <is>
          <t>KALIX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45816</v>
      </c>
      <c r="E181" s="1" t="n">
        <v>46303</v>
      </c>
      <c r="F181" t="inlineStr">
        <is>
          <t>NORRBOTTENS LÄN</t>
        </is>
      </c>
      <c r="G181" t="inlineStr">
        <is>
          <t>KALIX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45816</v>
      </c>
      <c r="E182" s="1" t="n">
        <v>46303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45816</v>
      </c>
      <c r="E183" s="1" t="n">
        <v>46303</v>
      </c>
      <c r="F183" t="inlineStr">
        <is>
          <t>NORRBOTTENS LÄN</t>
        </is>
      </c>
      <c r="G183" t="inlineStr">
        <is>
          <t>KALIX</t>
        </is>
      </c>
      <c r="I183" t="n">
        <v>18.4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66739-2021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44520</v>
      </c>
      <c r="E184" s="1" t="n">
        <v>46303</v>
      </c>
      <c r="F184" t="inlineStr">
        <is>
          <t>NORRBOTTENS LÄN</t>
        </is>
      </c>
      <c r="G184" t="inlineStr">
        <is>
          <t>KALIX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46303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46303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46303</v>
      </c>
      <c r="F187" t="inlineStr">
        <is>
          <t>NORRBOTTENS LÄN</t>
        </is>
      </c>
      <c r="G187" t="inlineStr">
        <is>
          <t>KALIX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46303</v>
      </c>
      <c r="F188" t="inlineStr">
        <is>
          <t>NORRBOTTENS LÄN</t>
        </is>
      </c>
      <c r="G188" t="inlineStr">
        <is>
          <t>KALIX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46303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46303</v>
      </c>
      <c r="F190" t="inlineStr">
        <is>
          <t>NORRBOTTENS LÄN</t>
        </is>
      </c>
      <c r="G190" t="inlineStr">
        <is>
          <t>KALIX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46303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46303</v>
      </c>
      <c r="F192" t="inlineStr">
        <is>
          <t>NORRBOTTENS LÄN</t>
        </is>
      </c>
      <c r="G192" t="inlineStr">
        <is>
          <t>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46303</v>
      </c>
      <c r="F193" t="inlineStr">
        <is>
          <t>NORRBOTTENS LÄN</t>
        </is>
      </c>
      <c r="G193" t="inlineStr">
        <is>
          <t>KALIX</t>
        </is>
      </c>
      <c r="H193" t="inlineStr">
        <is>
          <t>SCA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46303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45481</v>
      </c>
      <c r="E195" s="1" t="n">
        <v>46303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45932</v>
      </c>
      <c r="E196" s="1" t="n">
        <v>46303</v>
      </c>
      <c r="F196" t="inlineStr">
        <is>
          <t>NORRBOTTENS LÄN</t>
        </is>
      </c>
      <c r="G196" t="inlineStr">
        <is>
          <t>KALIX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46303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46303</v>
      </c>
      <c r="F198" t="inlineStr">
        <is>
          <t>NORRBOTTENS LÄN</t>
        </is>
      </c>
      <c r="G198" t="inlineStr">
        <is>
          <t>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46303</v>
      </c>
      <c r="F199" t="inlineStr">
        <is>
          <t>NORRBOTTENS LÄN</t>
        </is>
      </c>
      <c r="G199" t="inlineStr">
        <is>
          <t>KALIX</t>
        </is>
      </c>
      <c r="I199" t="n">
        <v>10.6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46303</v>
      </c>
      <c r="F200" t="inlineStr">
        <is>
          <t>NORRBOTTENS LÄN</t>
        </is>
      </c>
      <c r="G200" t="inlineStr">
        <is>
          <t>KALIX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46303</v>
      </c>
      <c r="F201" t="inlineStr">
        <is>
          <t>NORRBOTTENS LÄN</t>
        </is>
      </c>
      <c r="G201" t="inlineStr">
        <is>
          <t>KALIX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45573</v>
      </c>
      <c r="E202" s="1" t="n">
        <v>46303</v>
      </c>
      <c r="F202" t="inlineStr">
        <is>
          <t>NORRBOTTENS LÄN</t>
        </is>
      </c>
      <c r="G202" t="inlineStr">
        <is>
          <t>KALIX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46303</v>
      </c>
      <c r="F203" t="inlineStr">
        <is>
          <t>NORRBOTTENS LÄN</t>
        </is>
      </c>
      <c r="G203" t="inlineStr">
        <is>
          <t>KALIX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46303</v>
      </c>
      <c r="F204" t="inlineStr">
        <is>
          <t>NORRBOTTENS LÄN</t>
        </is>
      </c>
      <c r="G204" t="inlineStr">
        <is>
          <t>KALIX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45457</v>
      </c>
      <c r="E205" s="1" t="n">
        <v>46303</v>
      </c>
      <c r="F205" t="inlineStr">
        <is>
          <t>NORRBOTTENS LÄN</t>
        </is>
      </c>
      <c r="G205" t="inlineStr">
        <is>
          <t>KALIX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46303</v>
      </c>
      <c r="F206" t="inlineStr">
        <is>
          <t>NORRBOTTENS LÄN</t>
        </is>
      </c>
      <c r="G206" t="inlineStr">
        <is>
          <t>KALIX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46303</v>
      </c>
      <c r="F207" t="inlineStr">
        <is>
          <t>NORRBOTTENS LÄN</t>
        </is>
      </c>
      <c r="G207" t="inlineStr">
        <is>
          <t>KALIX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46303</v>
      </c>
      <c r="F208" t="inlineStr">
        <is>
          <t>NORRBOTTENS LÄN</t>
        </is>
      </c>
      <c r="G208" t="inlineStr">
        <is>
          <t>KALIX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46303</v>
      </c>
      <c r="F209" t="inlineStr">
        <is>
          <t>NORRBOTTENS LÄN</t>
        </is>
      </c>
      <c r="G209" t="inlineStr">
        <is>
          <t>KALIX</t>
        </is>
      </c>
      <c r="I209" t="n">
        <v>10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46303</v>
      </c>
      <c r="F210" t="inlineStr">
        <is>
          <t>NORRBOTTENS LÄN</t>
        </is>
      </c>
      <c r="G210" t="inlineStr">
        <is>
          <t>KALIX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46303</v>
      </c>
      <c r="F211" t="inlineStr">
        <is>
          <t>NORRBOTTENS LÄN</t>
        </is>
      </c>
      <c r="G211" t="inlineStr">
        <is>
          <t>KALIX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46303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45835</v>
      </c>
      <c r="E213" s="1" t="n">
        <v>46303</v>
      </c>
      <c r="F213" t="inlineStr">
        <is>
          <t>NORRBOTTENS LÄN</t>
        </is>
      </c>
      <c r="G213" t="inlineStr">
        <is>
          <t>KALIX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46303</v>
      </c>
      <c r="F214" t="inlineStr">
        <is>
          <t>NORRBOTTENS LÄN</t>
        </is>
      </c>
      <c r="G214" t="inlineStr">
        <is>
          <t>KALIX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46303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68438-2021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46303</v>
      </c>
      <c r="F216" t="inlineStr">
        <is>
          <t>NORRBOTTENS LÄN</t>
        </is>
      </c>
      <c r="G216" t="inlineStr">
        <is>
          <t>KALIX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46303</v>
      </c>
      <c r="F217" t="inlineStr">
        <is>
          <t>NORRBOTTENS LÄN</t>
        </is>
      </c>
      <c r="G217" t="inlineStr">
        <is>
          <t>KALIX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46303</v>
      </c>
      <c r="F218" t="inlineStr">
        <is>
          <t>NORRBOTTENS LÄN</t>
        </is>
      </c>
      <c r="G218" t="inlineStr">
        <is>
          <t>KALIX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46303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46303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46303</v>
      </c>
      <c r="F221" t="inlineStr">
        <is>
          <t>NORRBOTTENS LÄN</t>
        </is>
      </c>
      <c r="G221" t="inlineStr">
        <is>
          <t>KALIX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46303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46303</v>
      </c>
      <c r="F223" t="inlineStr">
        <is>
          <t>NORRBOTTENS LÄN</t>
        </is>
      </c>
      <c r="G223" t="inlineStr">
        <is>
          <t>KALIX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46303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46303</v>
      </c>
      <c r="F225" t="inlineStr">
        <is>
          <t>NORRBOTTENS LÄN</t>
        </is>
      </c>
      <c r="G225" t="inlineStr">
        <is>
          <t>KALIX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46303</v>
      </c>
      <c r="F226" t="inlineStr">
        <is>
          <t>NORRBOTTENS LÄN</t>
        </is>
      </c>
      <c r="G226" t="inlineStr">
        <is>
          <t>KALIX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46303</v>
      </c>
      <c r="F227" t="inlineStr">
        <is>
          <t>NORRBOTTENS LÄN</t>
        </is>
      </c>
      <c r="G227" t="inlineStr">
        <is>
          <t>KALIX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46303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67004-2021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44522</v>
      </c>
      <c r="E229" s="1" t="n">
        <v>46303</v>
      </c>
      <c r="F229" t="inlineStr">
        <is>
          <t>NORRBOTTENS LÄN</t>
        </is>
      </c>
      <c r="G229" t="inlineStr">
        <is>
          <t>KALIX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46303</v>
      </c>
      <c r="F230" t="inlineStr">
        <is>
          <t>NORRBOTTENS LÄN</t>
        </is>
      </c>
      <c r="G230" t="inlineStr">
        <is>
          <t>KALIX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46303</v>
      </c>
      <c r="F231" t="inlineStr">
        <is>
          <t>NORRBOTTENS LÄN</t>
        </is>
      </c>
      <c r="G231" t="inlineStr">
        <is>
          <t>KALIX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62444-2022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46303</v>
      </c>
      <c r="F232" t="inlineStr">
        <is>
          <t>NORRBOTTENS LÄN</t>
        </is>
      </c>
      <c r="G232" t="inlineStr">
        <is>
          <t>KALIX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46303</v>
      </c>
      <c r="F233" t="inlineStr">
        <is>
          <t>NORRBOTTENS LÄN</t>
        </is>
      </c>
      <c r="G233" t="inlineStr">
        <is>
          <t>KALIX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58592-2022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46303</v>
      </c>
      <c r="F234" t="inlineStr">
        <is>
          <t>NORRBOTTENS LÄN</t>
        </is>
      </c>
      <c r="G234" t="inlineStr">
        <is>
          <t>KALIX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46303</v>
      </c>
      <c r="F235" t="inlineStr">
        <is>
          <t>NORRBOTTENS LÄN</t>
        </is>
      </c>
      <c r="G235" t="inlineStr">
        <is>
          <t>KALIX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46303</v>
      </c>
      <c r="F236" t="inlineStr">
        <is>
          <t>NORRBOTTENS LÄN</t>
        </is>
      </c>
      <c r="G236" t="inlineStr">
        <is>
          <t>KALIX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46303</v>
      </c>
      <c r="F237" t="inlineStr">
        <is>
          <t>NORRBOTTENS LÄN</t>
        </is>
      </c>
      <c r="G237" t="inlineStr">
        <is>
          <t>KALIX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46303</v>
      </c>
      <c r="F238" t="inlineStr">
        <is>
          <t>NORRBOTTENS LÄN</t>
        </is>
      </c>
      <c r="G238" t="inlineStr">
        <is>
          <t>KALIX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46303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45170</v>
      </c>
      <c r="E240" s="1" t="n">
        <v>46303</v>
      </c>
      <c r="F240" t="inlineStr">
        <is>
          <t>NORRBOTTENS LÄN</t>
        </is>
      </c>
      <c r="G240" t="inlineStr">
        <is>
          <t>KALIX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46303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46303</v>
      </c>
      <c r="F242" t="inlineStr">
        <is>
          <t>NORRBOTTENS LÄN</t>
        </is>
      </c>
      <c r="G242" t="inlineStr">
        <is>
          <t>KALIX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46303</v>
      </c>
      <c r="F243" t="inlineStr">
        <is>
          <t>NORRBOTTENS LÄN</t>
        </is>
      </c>
      <c r="G243" t="inlineStr">
        <is>
          <t>KALIX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46303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46303</v>
      </c>
      <c r="F245" t="inlineStr">
        <is>
          <t>NORRBOTTENS LÄN</t>
        </is>
      </c>
      <c r="G245" t="inlineStr">
        <is>
          <t>KALIX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45842</v>
      </c>
      <c r="E246" s="1" t="n">
        <v>46303</v>
      </c>
      <c r="F246" t="inlineStr">
        <is>
          <t>NORRBOTTENS LÄN</t>
        </is>
      </c>
      <c r="G246" t="inlineStr">
        <is>
          <t>KALIX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44776</v>
      </c>
      <c r="E247" s="1" t="n">
        <v>46303</v>
      </c>
      <c r="F247" t="inlineStr">
        <is>
          <t>NORRBOTTENS LÄN</t>
        </is>
      </c>
      <c r="G247" t="inlineStr">
        <is>
          <t>KALIX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46303</v>
      </c>
      <c r="F248" t="inlineStr">
        <is>
          <t>NORRBOTTENS LÄN</t>
        </is>
      </c>
      <c r="G248" t="inlineStr">
        <is>
          <t>KALIX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46303</v>
      </c>
      <c r="F249" t="inlineStr">
        <is>
          <t>NORRBOTTENS LÄN</t>
        </is>
      </c>
      <c r="G249" t="inlineStr">
        <is>
          <t>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46303</v>
      </c>
      <c r="F250" t="inlineStr">
        <is>
          <t>NORRBOTTENS LÄN</t>
        </is>
      </c>
      <c r="G250" t="inlineStr">
        <is>
          <t>KALIX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46303</v>
      </c>
      <c r="F251" t="inlineStr">
        <is>
          <t>NORRBOTTENS LÄN</t>
        </is>
      </c>
      <c r="G251" t="inlineStr">
        <is>
          <t>KALIX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46303</v>
      </c>
      <c r="F252" t="inlineStr">
        <is>
          <t>NORRBOTTENS LÄN</t>
        </is>
      </c>
      <c r="G252" t="inlineStr">
        <is>
          <t>KALIX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46303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46303</v>
      </c>
      <c r="F254" t="inlineStr">
        <is>
          <t>NORRBOTTENS LÄN</t>
        </is>
      </c>
      <c r="G254" t="inlineStr">
        <is>
          <t>KALIX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45585</v>
      </c>
      <c r="E255" s="1" t="n">
        <v>46303</v>
      </c>
      <c r="F255" t="inlineStr">
        <is>
          <t>NORRBOTTENS LÄN</t>
        </is>
      </c>
      <c r="G255" t="inlineStr">
        <is>
          <t>KALIX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46303</v>
      </c>
      <c r="F256" t="inlineStr">
        <is>
          <t>NORRBOTTENS LÄN</t>
        </is>
      </c>
      <c r="G256" t="inlineStr">
        <is>
          <t>KALIX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45470</v>
      </c>
      <c r="E257" s="1" t="n">
        <v>46303</v>
      </c>
      <c r="F257" t="inlineStr">
        <is>
          <t>NORRBOTTENS LÄN</t>
        </is>
      </c>
      <c r="G257" t="inlineStr">
        <is>
          <t>KALIX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46303</v>
      </c>
      <c r="F258" t="inlineStr">
        <is>
          <t>NORRBOTTENS LÄN</t>
        </is>
      </c>
      <c r="G258" t="inlineStr">
        <is>
          <t>KALIX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45813</v>
      </c>
      <c r="E259" s="1" t="n">
        <v>46303</v>
      </c>
      <c r="F259" t="inlineStr">
        <is>
          <t>NORRBOTTENS LÄN</t>
        </is>
      </c>
      <c r="G259" t="inlineStr">
        <is>
          <t>KALIX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46303</v>
      </c>
      <c r="F260" t="inlineStr">
        <is>
          <t>NORRBOTTENS LÄN</t>
        </is>
      </c>
      <c r="G260" t="inlineStr">
        <is>
          <t>KALIX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44581</v>
      </c>
      <c r="E261" s="1" t="n">
        <v>46303</v>
      </c>
      <c r="F261" t="inlineStr">
        <is>
          <t>NORRBOTTENS LÄN</t>
        </is>
      </c>
      <c r="G261" t="inlineStr">
        <is>
          <t>KALIX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46303</v>
      </c>
      <c r="F262" t="inlineStr">
        <is>
          <t>NORRBOTTENS LÄN</t>
        </is>
      </c>
      <c r="G262" t="inlineStr">
        <is>
          <t>KALIX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46752-2024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45583</v>
      </c>
      <c r="E263" s="1" t="n">
        <v>46303</v>
      </c>
      <c r="F263" t="inlineStr">
        <is>
          <t>NORRBOTTENS LÄN</t>
        </is>
      </c>
      <c r="G263" t="inlineStr">
        <is>
          <t>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46303</v>
      </c>
      <c r="F264" t="inlineStr">
        <is>
          <t>NORRBOTTENS LÄN</t>
        </is>
      </c>
      <c r="G264" t="inlineStr">
        <is>
          <t>KALIX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46303</v>
      </c>
      <c r="F265" t="inlineStr">
        <is>
          <t>NORRBOTTENS LÄN</t>
        </is>
      </c>
      <c r="G265" t="inlineStr">
        <is>
          <t>KALIX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58583-2022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44894</v>
      </c>
      <c r="E266" s="1" t="n">
        <v>46303</v>
      </c>
      <c r="F266" t="inlineStr">
        <is>
          <t>NORRBOTTENS LÄN</t>
        </is>
      </c>
      <c r="G266" t="inlineStr">
        <is>
          <t>KALIX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46303</v>
      </c>
      <c r="F267" t="inlineStr">
        <is>
          <t>NORRBOTTENS LÄN</t>
        </is>
      </c>
      <c r="G267" t="inlineStr">
        <is>
          <t>KALIX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44603</v>
      </c>
      <c r="E268" s="1" t="n">
        <v>46303</v>
      </c>
      <c r="F268" t="inlineStr">
        <is>
          <t>NORRBOTTENS LÄN</t>
        </is>
      </c>
      <c r="G268" t="inlineStr">
        <is>
          <t>KALIX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45851</v>
      </c>
      <c r="E269" s="1" t="n">
        <v>46303</v>
      </c>
      <c r="F269" t="inlineStr">
        <is>
          <t>NORRBOTTENS LÄN</t>
        </is>
      </c>
      <c r="G269" t="inlineStr">
        <is>
          <t>KALIX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46303</v>
      </c>
      <c r="F270" t="inlineStr">
        <is>
          <t>NORRBOTTENS LÄN</t>
        </is>
      </c>
      <c r="G270" t="inlineStr">
        <is>
          <t>KALIX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46303</v>
      </c>
      <c r="F271" t="inlineStr">
        <is>
          <t>NORRBOTTENS LÄN</t>
        </is>
      </c>
      <c r="G271" t="inlineStr">
        <is>
          <t>KALIX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45866</v>
      </c>
      <c r="E272" s="1" t="n">
        <v>46303</v>
      </c>
      <c r="F272" t="inlineStr">
        <is>
          <t>NORRBOTTENS LÄN</t>
        </is>
      </c>
      <c r="G272" t="inlineStr">
        <is>
          <t>KALIX</t>
        </is>
      </c>
      <c r="H272" t="inlineStr">
        <is>
          <t>Sveaskog</t>
        </is>
      </c>
      <c r="I272" t="n">
        <v>14.8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13537-2022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44648</v>
      </c>
      <c r="E273" s="1" t="n">
        <v>46303</v>
      </c>
      <c r="F273" t="inlineStr">
        <is>
          <t>NORRBOTTENS LÄN</t>
        </is>
      </c>
      <c r="G273" t="inlineStr">
        <is>
          <t>KALIX</t>
        </is>
      </c>
      <c r="H273" t="inlineStr">
        <is>
          <t>BillerudKorsnäs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45867</v>
      </c>
      <c r="E274" s="1" t="n">
        <v>46303</v>
      </c>
      <c r="F274" t="inlineStr">
        <is>
          <t>NORRBOTTENS LÄN</t>
        </is>
      </c>
      <c r="G274" t="inlineStr">
        <is>
          <t>KALIX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46303</v>
      </c>
      <c r="F275" t="inlineStr">
        <is>
          <t>NORRBOTTENS LÄN</t>
        </is>
      </c>
      <c r="G275" t="inlineStr">
        <is>
          <t>KALIX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46303</v>
      </c>
      <c r="F276" t="inlineStr">
        <is>
          <t>NORRBOTTENS LÄN</t>
        </is>
      </c>
      <c r="G276" t="inlineStr">
        <is>
          <t>KALIX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11856-2023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44995</v>
      </c>
      <c r="E277" s="1" t="n">
        <v>46303</v>
      </c>
      <c r="F277" t="inlineStr">
        <is>
          <t>NORRBOTTENS LÄN</t>
        </is>
      </c>
      <c r="G277" t="inlineStr">
        <is>
          <t>KALIX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46303</v>
      </c>
      <c r="F278" t="inlineStr">
        <is>
          <t>NORRBOTTENS LÄN</t>
        </is>
      </c>
      <c r="G278" t="inlineStr">
        <is>
          <t>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45667</v>
      </c>
      <c r="E279" s="1" t="n">
        <v>46303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46303</v>
      </c>
      <c r="F280" t="inlineStr">
        <is>
          <t>NORRBOTTENS LÄN</t>
        </is>
      </c>
      <c r="G280" t="inlineStr">
        <is>
          <t>KALIX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46303</v>
      </c>
      <c r="F281" t="inlineStr">
        <is>
          <t>NORRBOTTENS LÄN</t>
        </is>
      </c>
      <c r="G281" t="inlineStr">
        <is>
          <t>KALIX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45859</v>
      </c>
      <c r="E282" s="1" t="n">
        <v>46303</v>
      </c>
      <c r="F282" t="inlineStr">
        <is>
          <t>NORRBOTTENS LÄN</t>
        </is>
      </c>
      <c r="G282" t="inlineStr">
        <is>
          <t>KALIX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46303</v>
      </c>
      <c r="F283" t="inlineStr">
        <is>
          <t>NORRBOTTENS LÄN</t>
        </is>
      </c>
      <c r="G283" t="inlineStr">
        <is>
          <t>KALIX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55391-2025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46303</v>
      </c>
      <c r="F284" t="inlineStr">
        <is>
          <t>NORRBOTTENS LÄN</t>
        </is>
      </c>
      <c r="G284" t="inlineStr">
        <is>
          <t>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46303</v>
      </c>
      <c r="F285" t="inlineStr">
        <is>
          <t>NORRBOTTENS LÄN</t>
        </is>
      </c>
      <c r="G285" t="inlineStr">
        <is>
          <t>KALIX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46303</v>
      </c>
      <c r="F286" t="inlineStr">
        <is>
          <t>NORRBOTTENS LÄN</t>
        </is>
      </c>
      <c r="G286" t="inlineStr">
        <is>
          <t>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46303</v>
      </c>
      <c r="F287" t="inlineStr">
        <is>
          <t>NORRBOTTENS LÄN</t>
        </is>
      </c>
      <c r="G287" t="inlineStr">
        <is>
          <t>KALIX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46303</v>
      </c>
      <c r="F288" t="inlineStr">
        <is>
          <t>NORRBOTTENS LÄN</t>
        </is>
      </c>
      <c r="G288" t="inlineStr">
        <is>
          <t>KALIX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45708</v>
      </c>
      <c r="E289" s="1" t="n">
        <v>46303</v>
      </c>
      <c r="F289" t="inlineStr">
        <is>
          <t>NORRBOTTENS LÄN</t>
        </is>
      </c>
      <c r="G289" t="inlineStr">
        <is>
          <t>KALIX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46303</v>
      </c>
      <c r="F290" t="inlineStr">
        <is>
          <t>NORRBOTTENS LÄN</t>
        </is>
      </c>
      <c r="G290" t="inlineStr">
        <is>
          <t>KALIX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45816</v>
      </c>
      <c r="E291" s="1" t="n">
        <v>46303</v>
      </c>
      <c r="F291" t="inlineStr">
        <is>
          <t>NORRBOTTENS LÄN</t>
        </is>
      </c>
      <c r="G291" t="inlineStr">
        <is>
          <t>KALIX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46303</v>
      </c>
      <c r="F292" t="inlineStr">
        <is>
          <t>NORRBOTTENS LÄN</t>
        </is>
      </c>
      <c r="G292" t="inlineStr">
        <is>
          <t>KALIX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45679</v>
      </c>
      <c r="E293" s="1" t="n">
        <v>46303</v>
      </c>
      <c r="F293" t="inlineStr">
        <is>
          <t>NORRBOTTENS LÄN</t>
        </is>
      </c>
      <c r="G293" t="inlineStr">
        <is>
          <t>KALIX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46303</v>
      </c>
      <c r="F294" t="inlineStr">
        <is>
          <t>NORRBOTTENS LÄN</t>
        </is>
      </c>
      <c r="G294" t="inlineStr">
        <is>
          <t>KALIX</t>
        </is>
      </c>
      <c r="I294" t="n">
        <v>23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46303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46303</v>
      </c>
      <c r="F296" t="inlineStr">
        <is>
          <t>NORRBOTTENS LÄN</t>
        </is>
      </c>
      <c r="G296" t="inlineStr">
        <is>
          <t>KALIX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46303</v>
      </c>
      <c r="F297" t="inlineStr">
        <is>
          <t>NORRBOTTENS LÄN</t>
        </is>
      </c>
      <c r="G297" t="inlineStr">
        <is>
          <t>KALIX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9193-2026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46070</v>
      </c>
      <c r="E298" s="1" t="n">
        <v>46303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30005-2022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44756</v>
      </c>
      <c r="E299" s="1" t="n">
        <v>46303</v>
      </c>
      <c r="F299" t="inlineStr">
        <is>
          <t>NORRBOTTENS LÄN</t>
        </is>
      </c>
      <c r="G299" t="inlineStr">
        <is>
          <t>KALIX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46303</v>
      </c>
      <c r="F300" t="inlineStr">
        <is>
          <t>NORRBOTTENS LÄN</t>
        </is>
      </c>
      <c r="G300" t="inlineStr">
        <is>
          <t>KALIX</t>
        </is>
      </c>
      <c r="I300" t="n">
        <v>16.2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46303</v>
      </c>
      <c r="F301" t="inlineStr">
        <is>
          <t>NORRBOTTENS LÄN</t>
        </is>
      </c>
      <c r="G301" t="inlineStr">
        <is>
          <t>KALIX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46303</v>
      </c>
      <c r="F302" t="inlineStr">
        <is>
          <t>NORRBOTTENS LÄN</t>
        </is>
      </c>
      <c r="G302" t="inlineStr">
        <is>
          <t>KALIX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37918-2025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45881</v>
      </c>
      <c r="E303" s="1" t="n">
        <v>46303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46303</v>
      </c>
      <c r="F304" t="inlineStr">
        <is>
          <t>NORRBOTTENS LÄN</t>
        </is>
      </c>
      <c r="G304" t="inlineStr">
        <is>
          <t>KALIX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45112</v>
      </c>
      <c r="E305" s="1" t="n">
        <v>46303</v>
      </c>
      <c r="F305" t="inlineStr">
        <is>
          <t>NORRBOTTENS LÄN</t>
        </is>
      </c>
      <c r="G305" t="inlineStr">
        <is>
          <t>KALIX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46303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45881</v>
      </c>
      <c r="E307" s="1" t="n">
        <v>46303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46303</v>
      </c>
      <c r="F308" t="inlineStr">
        <is>
          <t>NORRBOTTENS LÄN</t>
        </is>
      </c>
      <c r="G308" t="inlineStr">
        <is>
          <t>KALIX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46303</v>
      </c>
      <c r="F309" t="inlineStr">
        <is>
          <t>NORRBOTTENS LÄN</t>
        </is>
      </c>
      <c r="G309" t="inlineStr">
        <is>
          <t>KALIX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17583-2024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45415</v>
      </c>
      <c r="E310" s="1" t="n">
        <v>46303</v>
      </c>
      <c r="F310" t="inlineStr">
        <is>
          <t>NORRBOTTENS LÄN</t>
        </is>
      </c>
      <c r="G310" t="inlineStr">
        <is>
          <t>KALIX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49759-2022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44862</v>
      </c>
      <c r="E311" s="1" t="n">
        <v>46303</v>
      </c>
      <c r="F311" t="inlineStr">
        <is>
          <t>NORRBOTTENS LÄN</t>
        </is>
      </c>
      <c r="G311" t="inlineStr">
        <is>
          <t>KALIX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46303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58208-2025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46303</v>
      </c>
      <c r="F313" t="inlineStr">
        <is>
          <t>NORRBOTTENS LÄN</t>
        </is>
      </c>
      <c r="G313" t="inlineStr">
        <is>
          <t>KALIX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46303</v>
      </c>
      <c r="F314" t="inlineStr">
        <is>
          <t>NORRBOTTENS LÄN</t>
        </is>
      </c>
      <c r="G314" t="inlineStr">
        <is>
          <t>KALIX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18227-2024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45420</v>
      </c>
      <c r="E315" s="1" t="n">
        <v>46303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21000-2026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46303</v>
      </c>
      <c r="F316" t="inlineStr">
        <is>
          <t>NORRBOTTENS LÄN</t>
        </is>
      </c>
      <c r="G316" t="inlineStr">
        <is>
          <t>KALIX</t>
        </is>
      </c>
      <c r="H316" t="inlineStr">
        <is>
          <t>Sveaskog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46303</v>
      </c>
      <c r="F317" t="inlineStr">
        <is>
          <t>NORRBOTTENS LÄN</t>
        </is>
      </c>
      <c r="G317" t="inlineStr">
        <is>
          <t>KALIX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45295</v>
      </c>
      <c r="E318" s="1" t="n">
        <v>46303</v>
      </c>
      <c r="F318" t="inlineStr">
        <is>
          <t>NORRBOTTENS LÄN</t>
        </is>
      </c>
      <c r="G318" t="inlineStr">
        <is>
          <t>KALIX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46303</v>
      </c>
      <c r="F319" t="inlineStr">
        <is>
          <t>NORRBOTTENS LÄN</t>
        </is>
      </c>
      <c r="G319" t="inlineStr">
        <is>
          <t>KALIX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46303</v>
      </c>
      <c r="F320" t="inlineStr">
        <is>
          <t>NORRBOTTENS LÄN</t>
        </is>
      </c>
      <c r="G320" t="inlineStr">
        <is>
          <t>KALIX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46303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45641</v>
      </c>
      <c r="E322" s="1" t="n">
        <v>46303</v>
      </c>
      <c r="F322" t="inlineStr">
        <is>
          <t>NORRBOTTENS LÄN</t>
        </is>
      </c>
      <c r="G322" t="inlineStr">
        <is>
          <t>KALIX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21169-2026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46146</v>
      </c>
      <c r="E323" s="1" t="n">
        <v>46303</v>
      </c>
      <c r="F323" t="inlineStr">
        <is>
          <t>NORRBOTTENS LÄN</t>
        </is>
      </c>
      <c r="G323" t="inlineStr">
        <is>
          <t>KALIX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46081</v>
      </c>
      <c r="E324" s="1" t="n">
        <v>46303</v>
      </c>
      <c r="F324" t="inlineStr">
        <is>
          <t>NORRBOTTENS LÄN</t>
        </is>
      </c>
      <c r="G324" t="inlineStr">
        <is>
          <t>KALIX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22341-2026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46303</v>
      </c>
      <c r="F325" t="inlineStr">
        <is>
          <t>NORRBOTTENS LÄN</t>
        </is>
      </c>
      <c r="G325" t="inlineStr">
        <is>
          <t>KALIX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46303</v>
      </c>
      <c r="F326" t="inlineStr">
        <is>
          <t>NORRBOTTENS LÄN</t>
        </is>
      </c>
      <c r="G326" t="inlineStr">
        <is>
          <t>KALIX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45049</v>
      </c>
      <c r="E327" s="1" t="n">
        <v>46303</v>
      </c>
      <c r="F327" t="inlineStr">
        <is>
          <t>NORRBOTTENS LÄN</t>
        </is>
      </c>
      <c r="G327" t="inlineStr">
        <is>
          <t>KALIX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46303</v>
      </c>
      <c r="F328" t="inlineStr">
        <is>
          <t>NORRBOTTENS LÄN</t>
        </is>
      </c>
      <c r="G328" t="inlineStr">
        <is>
          <t>KALIX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41662-2023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45175</v>
      </c>
      <c r="E329" s="1" t="n">
        <v>46303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46303</v>
      </c>
      <c r="F330" t="inlineStr">
        <is>
          <t>NORRBOTTENS LÄN</t>
        </is>
      </c>
      <c r="G330" t="inlineStr">
        <is>
          <t>KALIX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22421-2026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46303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46154</v>
      </c>
      <c r="E332" s="1" t="n">
        <v>46303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46303</v>
      </c>
      <c r="F333" t="inlineStr">
        <is>
          <t>NORRBOTTENS LÄN</t>
        </is>
      </c>
      <c r="G333" t="inlineStr">
        <is>
          <t>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46303</v>
      </c>
      <c r="F334" t="inlineStr">
        <is>
          <t>NORRBOTTENS LÄN</t>
        </is>
      </c>
      <c r="G334" t="inlineStr">
        <is>
          <t>KALIX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46303</v>
      </c>
      <c r="F335" t="inlineStr">
        <is>
          <t>NORRBOTTENS LÄN</t>
        </is>
      </c>
      <c r="G335" t="inlineStr">
        <is>
          <t>KALIX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46303</v>
      </c>
      <c r="F336" t="inlineStr">
        <is>
          <t>NORRBOTTENS LÄN</t>
        </is>
      </c>
      <c r="G336" t="inlineStr">
        <is>
          <t>KALIX</t>
        </is>
      </c>
      <c r="H336" t="inlineStr">
        <is>
          <t>Kommuner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45415</v>
      </c>
      <c r="E337" s="1" t="n">
        <v>46303</v>
      </c>
      <c r="F337" t="inlineStr">
        <is>
          <t>NORRBOTTENS LÄN</t>
        </is>
      </c>
      <c r="G337" t="inlineStr">
        <is>
          <t>KALIX</t>
        </is>
      </c>
      <c r="H337" t="inlineStr">
        <is>
          <t>SCA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45415</v>
      </c>
      <c r="E338" s="1" t="n">
        <v>46303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59980-2025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45993</v>
      </c>
      <c r="E339" s="1" t="n">
        <v>46303</v>
      </c>
      <c r="F339" t="inlineStr">
        <is>
          <t>NORRBOTTENS LÄN</t>
        </is>
      </c>
      <c r="G339" t="inlineStr">
        <is>
          <t>KALIX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46303</v>
      </c>
      <c r="F340" t="inlineStr">
        <is>
          <t>NORRBOTTENS LÄN</t>
        </is>
      </c>
      <c r="G340" t="inlineStr">
        <is>
          <t>KALIX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46003</v>
      </c>
      <c r="E341" s="1" t="n">
        <v>46303</v>
      </c>
      <c r="F341" t="inlineStr">
        <is>
          <t>NORRBOTTENS LÄN</t>
        </is>
      </c>
      <c r="G341" t="inlineStr">
        <is>
          <t>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46303</v>
      </c>
      <c r="F342" t="inlineStr">
        <is>
          <t>NORRBOTTENS LÄN</t>
        </is>
      </c>
      <c r="G342" t="inlineStr">
        <is>
          <t>KALIX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44749</v>
      </c>
      <c r="E343" s="1" t="n">
        <v>46303</v>
      </c>
      <c r="F343" t="inlineStr">
        <is>
          <t>NORRBOTTENS LÄN</t>
        </is>
      </c>
      <c r="G343" t="inlineStr">
        <is>
          <t>KALIX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46303</v>
      </c>
      <c r="F344" t="inlineStr">
        <is>
          <t>NORRBOTTENS LÄN</t>
        </is>
      </c>
      <c r="G344" t="inlineStr">
        <is>
          <t>KALIX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46303</v>
      </c>
      <c r="F345" t="inlineStr">
        <is>
          <t>NORRBOTTENS LÄN</t>
        </is>
      </c>
      <c r="G345" t="inlineStr">
        <is>
          <t>KALIX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46303</v>
      </c>
      <c r="F346" t="inlineStr">
        <is>
          <t>NORRBOTTENS LÄN</t>
        </is>
      </c>
      <c r="G346" t="inlineStr">
        <is>
          <t>KALIX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46303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46303</v>
      </c>
      <c r="F348" t="inlineStr">
        <is>
          <t>NORRBOTTENS LÄN</t>
        </is>
      </c>
      <c r="G348" t="inlineStr">
        <is>
          <t>KALIX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46303</v>
      </c>
      <c r="F349" t="inlineStr">
        <is>
          <t>NORRBOTTENS LÄN</t>
        </is>
      </c>
      <c r="G349" t="inlineStr">
        <is>
          <t>KALIX</t>
        </is>
      </c>
      <c r="I349" t="n">
        <v>14.8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64907-2021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44512</v>
      </c>
      <c r="E350" s="1" t="n">
        <v>46303</v>
      </c>
      <c r="F350" t="inlineStr">
        <is>
          <t>NORRBOTTENS LÄN</t>
        </is>
      </c>
      <c r="G350" t="inlineStr">
        <is>
          <t>KALIX</t>
        </is>
      </c>
      <c r="I350" t="n">
        <v>11.5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45009</v>
      </c>
      <c r="E351" s="1" t="n">
        <v>46303</v>
      </c>
      <c r="F351" t="inlineStr">
        <is>
          <t>NORRBOTTENS LÄN</t>
        </is>
      </c>
      <c r="G351" t="inlineStr">
        <is>
          <t>KALIX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46303</v>
      </c>
      <c r="F352" t="inlineStr">
        <is>
          <t>NORRBOTTENS LÄN</t>
        </is>
      </c>
      <c r="G352" t="inlineStr">
        <is>
          <t>KALIX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46303</v>
      </c>
      <c r="F353" t="inlineStr">
        <is>
          <t>NORRBOTTENS LÄN</t>
        </is>
      </c>
      <c r="G353" t="inlineStr">
        <is>
          <t>KALIX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46303</v>
      </c>
      <c r="F354" t="inlineStr">
        <is>
          <t>NORRBOTTENS LÄN</t>
        </is>
      </c>
      <c r="G354" t="inlineStr">
        <is>
          <t>KALIX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46303</v>
      </c>
      <c r="F355" t="inlineStr">
        <is>
          <t>NORRBOTTENS LÄN</t>
        </is>
      </c>
      <c r="G355" t="inlineStr">
        <is>
          <t>KALIX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61870-2025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46303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46303</v>
      </c>
      <c r="F357" t="inlineStr">
        <is>
          <t>NORRBOTTENS LÄN</t>
        </is>
      </c>
      <c r="G357" t="inlineStr">
        <is>
          <t>KALIX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46303</v>
      </c>
      <c r="F358" t="inlineStr">
        <is>
          <t>NORRBOTTENS LÄN</t>
        </is>
      </c>
      <c r="G358" t="inlineStr">
        <is>
          <t>KALIX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46303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46303</v>
      </c>
      <c r="F360" t="inlineStr">
        <is>
          <t>NORRBOTTENS LÄN</t>
        </is>
      </c>
      <c r="G360" t="inlineStr">
        <is>
          <t>KALIX</t>
        </is>
      </c>
      <c r="I360" t="n">
        <v>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55539-2024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45622</v>
      </c>
      <c r="E361" s="1" t="n">
        <v>46303</v>
      </c>
      <c r="F361" t="inlineStr">
        <is>
          <t>NORRBOTTENS LÄN</t>
        </is>
      </c>
      <c r="G361" t="inlineStr">
        <is>
          <t>KALIX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44974</v>
      </c>
      <c r="E362" s="1" t="n">
        <v>46303</v>
      </c>
      <c r="F362" t="inlineStr">
        <is>
          <t>NORRBOTTENS LÄN</t>
        </is>
      </c>
      <c r="G362" t="inlineStr">
        <is>
          <t>KALIX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46303</v>
      </c>
      <c r="F363" t="inlineStr">
        <is>
          <t>NORRBOTTENS LÄN</t>
        </is>
      </c>
      <c r="G363" t="inlineStr">
        <is>
          <t>KALIX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46303</v>
      </c>
      <c r="F364" t="inlineStr">
        <is>
          <t>NORRBOTTENS LÄN</t>
        </is>
      </c>
      <c r="G364" t="inlineStr">
        <is>
          <t>KALIX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44956</v>
      </c>
      <c r="E365" s="1" t="n">
        <v>46303</v>
      </c>
      <c r="F365" t="inlineStr">
        <is>
          <t>NORRBOTTENS LÄN</t>
        </is>
      </c>
      <c r="G365" t="inlineStr">
        <is>
          <t>KALIX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46303</v>
      </c>
      <c r="F366" t="inlineStr">
        <is>
          <t>NORRBOTTENS LÄN</t>
        </is>
      </c>
      <c r="G366" t="inlineStr">
        <is>
          <t>KALIX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46303</v>
      </c>
      <c r="F367" t="inlineStr">
        <is>
          <t>NORRBOTTENS LÄN</t>
        </is>
      </c>
      <c r="G367" t="inlineStr">
        <is>
          <t>KALIX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46303</v>
      </c>
      <c r="F368" t="inlineStr">
        <is>
          <t>NORRBOTTENS LÄN</t>
        </is>
      </c>
      <c r="G368" t="inlineStr">
        <is>
          <t>KALIX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46303</v>
      </c>
      <c r="F369" t="inlineStr">
        <is>
          <t>NORRBOTTENS LÄN</t>
        </is>
      </c>
      <c r="G369" t="inlineStr">
        <is>
          <t>KALIX</t>
        </is>
      </c>
      <c r="I369" t="n">
        <v>63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46303</v>
      </c>
      <c r="F370" t="inlineStr">
        <is>
          <t>NORRBOTTENS LÄN</t>
        </is>
      </c>
      <c r="G370" t="inlineStr">
        <is>
          <t>KALIX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46303</v>
      </c>
      <c r="F371" t="inlineStr">
        <is>
          <t>NORRBOTTENS LÄN</t>
        </is>
      </c>
      <c r="G371" t="inlineStr">
        <is>
          <t>KALIX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46303</v>
      </c>
      <c r="F372" t="inlineStr">
        <is>
          <t>NORRBOTTENS LÄN</t>
        </is>
      </c>
      <c r="G372" t="inlineStr">
        <is>
          <t>KALIX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63364-2025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46303</v>
      </c>
      <c r="F373" t="inlineStr">
        <is>
          <t>NORRBOTTENS LÄN</t>
        </is>
      </c>
      <c r="G373" t="inlineStr">
        <is>
          <t>KALIX</t>
        </is>
      </c>
      <c r="H373" t="inlineStr">
        <is>
          <t>Kommuner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46303</v>
      </c>
      <c r="F374" t="inlineStr">
        <is>
          <t>NORRBOTTENS LÄN</t>
        </is>
      </c>
      <c r="G374" t="inlineStr">
        <is>
          <t>KALIX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46303</v>
      </c>
      <c r="F375" t="inlineStr">
        <is>
          <t>NORRBOTTENS LÄN</t>
        </is>
      </c>
      <c r="G375" t="inlineStr">
        <is>
          <t>KALIX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62314-2025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46303</v>
      </c>
      <c r="F376" t="inlineStr">
        <is>
          <t>NORRBOTTENS LÄN</t>
        </is>
      </c>
      <c r="G376" t="inlineStr">
        <is>
          <t>KALIX</t>
        </is>
      </c>
      <c r="H376" t="inlineStr">
        <is>
          <t>Kommuner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45035</v>
      </c>
      <c r="E377" s="1" t="n">
        <v>46303</v>
      </c>
      <c r="F377" t="inlineStr">
        <is>
          <t>NORRBOTTENS LÄN</t>
        </is>
      </c>
      <c r="G377" t="inlineStr">
        <is>
          <t>KALIX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57117-2024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45629</v>
      </c>
      <c r="E378" s="1" t="n">
        <v>46303</v>
      </c>
      <c r="F378" t="inlineStr">
        <is>
          <t>NORRBOTTENS LÄN</t>
        </is>
      </c>
      <c r="G378" t="inlineStr">
        <is>
          <t>KALIX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45213</v>
      </c>
      <c r="E379" s="1" t="n">
        <v>46303</v>
      </c>
      <c r="F379" t="inlineStr">
        <is>
          <t>NORRBOTTENS LÄN</t>
        </is>
      </c>
      <c r="G379" t="inlineStr">
        <is>
          <t>KALIX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46013</v>
      </c>
      <c r="E380" s="1" t="n">
        <v>46303</v>
      </c>
      <c r="F380" t="inlineStr">
        <is>
          <t>NORRBOTTENS LÄN</t>
        </is>
      </c>
      <c r="G380" t="inlineStr">
        <is>
          <t>KALIX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46013</v>
      </c>
      <c r="E381" s="1" t="n">
        <v>46303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25019-2024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45461</v>
      </c>
      <c r="E382" s="1" t="n">
        <v>46303</v>
      </c>
      <c r="F382" t="inlineStr">
        <is>
          <t>NORRBOTTENS LÄN</t>
        </is>
      </c>
      <c r="G382" t="inlineStr">
        <is>
          <t>KALIX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44749-2025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46303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57332-2024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46303</v>
      </c>
      <c r="F384" t="inlineStr">
        <is>
          <t>NORRBOTTENS LÄN</t>
        </is>
      </c>
      <c r="G384" t="inlineStr">
        <is>
          <t>KALIX</t>
        </is>
      </c>
      <c r="I384" t="n">
        <v>13.9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24033-2026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46167</v>
      </c>
      <c r="E385" s="1" t="n">
        <v>46303</v>
      </c>
      <c r="F385" t="inlineStr">
        <is>
          <t>NORRBOTTENS LÄN</t>
        </is>
      </c>
      <c r="G385" t="inlineStr">
        <is>
          <t>KALIX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46303</v>
      </c>
      <c r="F386" t="inlineStr">
        <is>
          <t>NORRBOTTENS LÄN</t>
        </is>
      </c>
      <c r="G386" t="inlineStr">
        <is>
          <t>KALIX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46303</v>
      </c>
      <c r="F387" t="inlineStr">
        <is>
          <t>NORRBOTTENS LÄN</t>
        </is>
      </c>
      <c r="G387" t="inlineStr">
        <is>
          <t>KALIX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46303</v>
      </c>
      <c r="F388" t="inlineStr">
        <is>
          <t>NORRBOTTENS LÄN</t>
        </is>
      </c>
      <c r="G388" t="inlineStr">
        <is>
          <t>KALIX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46303</v>
      </c>
      <c r="F389" t="inlineStr">
        <is>
          <t>NORRBOTTENS LÄN</t>
        </is>
      </c>
      <c r="G389" t="inlineStr">
        <is>
          <t>KALIX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23878-2022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46303</v>
      </c>
      <c r="F390" t="inlineStr">
        <is>
          <t>NORRBOTTENS LÄN</t>
        </is>
      </c>
      <c r="G390" t="inlineStr">
        <is>
          <t>KALIX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46021</v>
      </c>
      <c r="E391" s="1" t="n">
        <v>46303</v>
      </c>
      <c r="F391" t="inlineStr">
        <is>
          <t>NORRBOTTENS LÄN</t>
        </is>
      </c>
      <c r="G391" t="inlineStr">
        <is>
          <t>KALIX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64027-2025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46021</v>
      </c>
      <c r="E392" s="1" t="n">
        <v>46303</v>
      </c>
      <c r="F392" t="inlineStr">
        <is>
          <t>NORRBOTTENS LÄN</t>
        </is>
      </c>
      <c r="G392" t="inlineStr">
        <is>
          <t>KALIX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45723</v>
      </c>
      <c r="E393" s="1" t="n">
        <v>46303</v>
      </c>
      <c r="F393" t="inlineStr">
        <is>
          <t>NORRBOTTENS LÄN</t>
        </is>
      </c>
      <c r="G393" t="inlineStr">
        <is>
          <t>KALIX</t>
        </is>
      </c>
      <c r="I393" t="n">
        <v>10.2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54296-2024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45617</v>
      </c>
      <c r="E394" s="1" t="n">
        <v>46303</v>
      </c>
      <c r="F394" t="inlineStr">
        <is>
          <t>NORRBOTTENS LÄN</t>
        </is>
      </c>
      <c r="G394" t="inlineStr">
        <is>
          <t>KALIX</t>
        </is>
      </c>
      <c r="H394" t="inlineStr">
        <is>
          <t>Sveaskog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44706</v>
      </c>
      <c r="E395" s="1" t="n">
        <v>46303</v>
      </c>
      <c r="F395" t="inlineStr">
        <is>
          <t>NORRBOTTENS LÄN</t>
        </is>
      </c>
      <c r="G395" t="inlineStr">
        <is>
          <t>KALIX</t>
        </is>
      </c>
      <c r="H395" t="inlineStr">
        <is>
          <t>Sveaskog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46171</v>
      </c>
      <c r="E396" s="1" t="n">
        <v>46303</v>
      </c>
      <c r="F396" t="inlineStr">
        <is>
          <t>NORRBOTTENS LÄN</t>
        </is>
      </c>
      <c r="G396" t="inlineStr">
        <is>
          <t>KALIX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46303</v>
      </c>
      <c r="F397" t="inlineStr">
        <is>
          <t>NORRBOTTENS LÄN</t>
        </is>
      </c>
      <c r="G397" t="inlineStr">
        <is>
          <t>KALIX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46303</v>
      </c>
      <c r="F398" t="inlineStr">
        <is>
          <t>NORRBOTTENS LÄN</t>
        </is>
      </c>
      <c r="G398" t="inlineStr">
        <is>
          <t>KALIX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46303</v>
      </c>
      <c r="F399" t="inlineStr">
        <is>
          <t>NORRBOTTENS LÄN</t>
        </is>
      </c>
      <c r="G399" t="inlineStr">
        <is>
          <t>KALIX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58765-2023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45251</v>
      </c>
      <c r="E400" s="1" t="n">
        <v>46303</v>
      </c>
      <c r="F400" t="inlineStr">
        <is>
          <t>NORRBOTTENS LÄN</t>
        </is>
      </c>
      <c r="G400" t="inlineStr">
        <is>
          <t>KALIX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45771</v>
      </c>
      <c r="E401" s="1" t="n">
        <v>46303</v>
      </c>
      <c r="F401" t="inlineStr">
        <is>
          <t>NORRBOTTENS LÄN</t>
        </is>
      </c>
      <c r="G401" t="inlineStr">
        <is>
          <t>KALIX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46303</v>
      </c>
      <c r="F402" t="inlineStr">
        <is>
          <t>NORRBOTTENS LÄN</t>
        </is>
      </c>
      <c r="G402" t="inlineStr">
        <is>
          <t>KALIX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46303</v>
      </c>
      <c r="F403" t="inlineStr">
        <is>
          <t>NORRBOTTENS LÄN</t>
        </is>
      </c>
      <c r="G403" t="inlineStr">
        <is>
          <t>KALIX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44712</v>
      </c>
      <c r="E404" s="1" t="n">
        <v>46303</v>
      </c>
      <c r="F404" t="inlineStr">
        <is>
          <t>NORRBOTTENS LÄN</t>
        </is>
      </c>
      <c r="G404" t="inlineStr">
        <is>
          <t>KALIX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46303</v>
      </c>
      <c r="F405" t="inlineStr">
        <is>
          <t>NORRBOTTENS LÄN</t>
        </is>
      </c>
      <c r="G405" t="inlineStr">
        <is>
          <t>KALIX</t>
        </is>
      </c>
      <c r="I405" t="n">
        <v>9.4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46303</v>
      </c>
      <c r="F406" t="inlineStr">
        <is>
          <t>NORRBOTTENS LÄN</t>
        </is>
      </c>
      <c r="G406" t="inlineStr">
        <is>
          <t>KALIX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46303</v>
      </c>
      <c r="F407" t="inlineStr">
        <is>
          <t>NORRBOTTENS LÄN</t>
        </is>
      </c>
      <c r="G407" t="inlineStr">
        <is>
          <t>KALIX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46303</v>
      </c>
      <c r="F408" t="inlineStr">
        <is>
          <t>NORRBOTTENS LÄN</t>
        </is>
      </c>
      <c r="G408" t="inlineStr">
        <is>
          <t>KALIX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46303</v>
      </c>
      <c r="F409" t="inlineStr">
        <is>
          <t>NORRBOTTENS LÄN</t>
        </is>
      </c>
      <c r="G409" t="inlineStr">
        <is>
          <t>KALIX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46303</v>
      </c>
      <c r="F410" t="inlineStr">
        <is>
          <t>NORRBOTTENS LÄN</t>
        </is>
      </c>
      <c r="G410" t="inlineStr">
        <is>
          <t>KALIX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46303</v>
      </c>
      <c r="F411" t="inlineStr">
        <is>
          <t>NORRBOTTENS LÄN</t>
        </is>
      </c>
      <c r="G411" t="inlineStr">
        <is>
          <t>KALIX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46303</v>
      </c>
      <c r="F412" t="inlineStr">
        <is>
          <t>NORRBOTTENS LÄN</t>
        </is>
      </c>
      <c r="G412" t="inlineStr">
        <is>
          <t>KALIX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44980</v>
      </c>
      <c r="E413" s="1" t="n">
        <v>46303</v>
      </c>
      <c r="F413" t="inlineStr">
        <is>
          <t>NORRBOTTENS LÄN</t>
        </is>
      </c>
      <c r="G413" t="inlineStr">
        <is>
          <t>KALIX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46303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45044</v>
      </c>
      <c r="E415" s="1" t="n">
        <v>46303</v>
      </c>
      <c r="F415" t="inlineStr">
        <is>
          <t>NORRBOTTENS LÄN</t>
        </is>
      </c>
      <c r="G415" t="inlineStr">
        <is>
          <t>KALIX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46303</v>
      </c>
      <c r="F416" t="inlineStr">
        <is>
          <t>NORRBOTTENS LÄN</t>
        </is>
      </c>
      <c r="G416" t="inlineStr">
        <is>
          <t>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46303</v>
      </c>
      <c r="F417" t="inlineStr">
        <is>
          <t>NORRBOTTENS LÄN</t>
        </is>
      </c>
      <c r="G417" t="inlineStr">
        <is>
          <t>KALIX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46303</v>
      </c>
      <c r="F418" t="inlineStr">
        <is>
          <t>NORRBOTTENS LÄN</t>
        </is>
      </c>
      <c r="G418" t="inlineStr">
        <is>
          <t>KALIX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46303</v>
      </c>
      <c r="F419" t="inlineStr">
        <is>
          <t>NORRBOTTENS LÄN</t>
        </is>
      </c>
      <c r="G419" t="inlineStr">
        <is>
          <t>KALIX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46303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46303</v>
      </c>
      <c r="F421" t="inlineStr">
        <is>
          <t>NORRBOTTENS LÄN</t>
        </is>
      </c>
      <c r="G421" t="inlineStr">
        <is>
          <t>KALIX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46303</v>
      </c>
      <c r="F422" t="inlineStr">
        <is>
          <t>NORRBOTTENS LÄN</t>
        </is>
      </c>
      <c r="G422" t="inlineStr">
        <is>
          <t>KALIX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44970</v>
      </c>
      <c r="E423" s="1" t="n">
        <v>46303</v>
      </c>
      <c r="F423" t="inlineStr">
        <is>
          <t>NORRBOTTENS LÄN</t>
        </is>
      </c>
      <c r="G423" t="inlineStr">
        <is>
          <t>KALIX</t>
        </is>
      </c>
      <c r="I423" t="n">
        <v>16.9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46303</v>
      </c>
      <c r="F424" t="inlineStr">
        <is>
          <t>NORRBOTTENS LÄN</t>
        </is>
      </c>
      <c r="G424" t="inlineStr">
        <is>
          <t>KALIX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64939-2023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46303</v>
      </c>
      <c r="F425" t="inlineStr">
        <is>
          <t>NORRBOTTENS LÄN</t>
        </is>
      </c>
      <c r="G425" t="inlineStr">
        <is>
          <t>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31512-2024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45505</v>
      </c>
      <c r="E426" s="1" t="n">
        <v>46303</v>
      </c>
      <c r="F426" t="inlineStr">
        <is>
          <t>NORRBOTTENS LÄN</t>
        </is>
      </c>
      <c r="G426" t="inlineStr">
        <is>
          <t>KALIX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46303</v>
      </c>
      <c r="F427" t="inlineStr">
        <is>
          <t>NORRBOTTENS LÄN</t>
        </is>
      </c>
      <c r="G427" t="inlineStr">
        <is>
          <t>KALIX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46303</v>
      </c>
      <c r="F428" t="inlineStr">
        <is>
          <t>NORRBOTTENS LÄN</t>
        </is>
      </c>
      <c r="G428" t="inlineStr">
        <is>
          <t>KALIX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46303</v>
      </c>
      <c r="F429" t="inlineStr">
        <is>
          <t>NORRBOTTENS LÄN</t>
        </is>
      </c>
      <c r="G429" t="inlineStr">
        <is>
          <t>KALIX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46303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46303</v>
      </c>
      <c r="F431" t="inlineStr">
        <is>
          <t>NORRBOTTENS LÄN</t>
        </is>
      </c>
      <c r="G431" t="inlineStr">
        <is>
          <t>KALIX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62135-2023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45266</v>
      </c>
      <c r="E432" s="1" t="n">
        <v>46303</v>
      </c>
      <c r="F432" t="inlineStr">
        <is>
          <t>NORRBOTTENS LÄN</t>
        </is>
      </c>
      <c r="G432" t="inlineStr">
        <is>
          <t>KALIX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46303</v>
      </c>
      <c r="F433" t="inlineStr">
        <is>
          <t>NORRBOTTENS LÄN</t>
        </is>
      </c>
      <c r="G433" t="inlineStr">
        <is>
          <t>KALIX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45266</v>
      </c>
      <c r="E434" s="1" t="n">
        <v>46303</v>
      </c>
      <c r="F434" t="inlineStr">
        <is>
          <t>NORRBOTTENS LÄN</t>
        </is>
      </c>
      <c r="G434" t="inlineStr">
        <is>
          <t>KALIX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10071-2024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45364</v>
      </c>
      <c r="E435" s="1" t="n">
        <v>46303</v>
      </c>
      <c r="F435" t="inlineStr">
        <is>
          <t>NORRBOTTENS LÄN</t>
        </is>
      </c>
      <c r="G435" t="inlineStr">
        <is>
          <t>KALIX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40032-2024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45553</v>
      </c>
      <c r="E436" s="1" t="n">
        <v>46303</v>
      </c>
      <c r="F436" t="inlineStr">
        <is>
          <t>NORRBOTTENS LÄN</t>
        </is>
      </c>
      <c r="G436" t="inlineStr">
        <is>
          <t>KALIX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46303</v>
      </c>
      <c r="F437" t="inlineStr">
        <is>
          <t>NORRBOTTENS LÄN</t>
        </is>
      </c>
      <c r="G437" t="inlineStr">
        <is>
          <t>KALIX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45492</v>
      </c>
      <c r="E438" s="1" t="n">
        <v>46303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46303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46303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46303</v>
      </c>
      <c r="F441" t="inlineStr">
        <is>
          <t>NORRBOTTENS LÄN</t>
        </is>
      </c>
      <c r="G441" t="inlineStr">
        <is>
          <t>KALIX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46303</v>
      </c>
      <c r="F442" t="inlineStr">
        <is>
          <t>NORRBOTTENS LÄN</t>
        </is>
      </c>
      <c r="G442" t="inlineStr">
        <is>
          <t>KALIX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28155-2026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46195</v>
      </c>
      <c r="E443" s="1" t="n">
        <v>46303</v>
      </c>
      <c r="F443" t="inlineStr">
        <is>
          <t>NORRBOTTENS LÄN</t>
        </is>
      </c>
      <c r="G443" t="inlineStr">
        <is>
          <t>KALIX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46303</v>
      </c>
      <c r="F444" t="inlineStr">
        <is>
          <t>NORRBOTTENS LÄN</t>
        </is>
      </c>
      <c r="G444" t="inlineStr">
        <is>
          <t>KALIX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46303</v>
      </c>
      <c r="F445" t="inlineStr">
        <is>
          <t>NORRBOTTENS LÄN</t>
        </is>
      </c>
      <c r="G445" t="inlineStr">
        <is>
          <t>KALIX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18010-2024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45419</v>
      </c>
      <c r="E446" s="1" t="n">
        <v>46303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9.9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46303</v>
      </c>
      <c r="F447" t="inlineStr">
        <is>
          <t>NORRBOTTENS LÄN</t>
        </is>
      </c>
      <c r="G447" t="inlineStr">
        <is>
          <t>KALIX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10547-2026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46077</v>
      </c>
      <c r="E448" s="1" t="n">
        <v>46303</v>
      </c>
      <c r="F448" t="inlineStr">
        <is>
          <t>NORRBOTTENS LÄN</t>
        </is>
      </c>
      <c r="G448" t="inlineStr">
        <is>
          <t>KALIX</t>
        </is>
      </c>
      <c r="I448" t="n">
        <v>16.5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46303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46303</v>
      </c>
      <c r="F450" t="inlineStr">
        <is>
          <t>NORRBOTTENS LÄN</t>
        </is>
      </c>
      <c r="G450" t="inlineStr">
        <is>
          <t>KALIX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46303</v>
      </c>
      <c r="F451" t="inlineStr">
        <is>
          <t>NORRBOTTENS LÄN</t>
        </is>
      </c>
      <c r="G451" t="inlineStr">
        <is>
          <t>KALIX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45036</v>
      </c>
      <c r="E452" s="1" t="n">
        <v>46303</v>
      </c>
      <c r="F452" t="inlineStr">
        <is>
          <t>NORRBOTTENS LÄN</t>
        </is>
      </c>
      <c r="G452" t="inlineStr">
        <is>
          <t>KALIX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46303</v>
      </c>
      <c r="F453" t="inlineStr">
        <is>
          <t>NORRBOTTENS LÄN</t>
        </is>
      </c>
      <c r="G453" t="inlineStr">
        <is>
          <t>KALIX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46303</v>
      </c>
      <c r="F454" t="inlineStr">
        <is>
          <t>NORRBOTTENS LÄN</t>
        </is>
      </c>
      <c r="G454" t="inlineStr">
        <is>
          <t>KALIX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46303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46303</v>
      </c>
      <c r="F456" t="inlineStr">
        <is>
          <t>NORRBOTTENS LÄN</t>
        </is>
      </c>
      <c r="G456" t="inlineStr">
        <is>
          <t>KALIX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46090</v>
      </c>
      <c r="E457" s="1" t="n">
        <v>46303</v>
      </c>
      <c r="F457" t="inlineStr">
        <is>
          <t>NORRBOTTENS LÄN</t>
        </is>
      </c>
      <c r="G457" t="inlineStr">
        <is>
          <t>KALIX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46303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29560-2026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46303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46303</v>
      </c>
      <c r="F460" t="inlineStr">
        <is>
          <t>NORRBOTTENS LÄN</t>
        </is>
      </c>
      <c r="G460" t="inlineStr">
        <is>
          <t>KALIX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46091</v>
      </c>
      <c r="E461" s="1" t="n">
        <v>46303</v>
      </c>
      <c r="F461" t="inlineStr">
        <is>
          <t>NORRBOTTENS LÄN</t>
        </is>
      </c>
      <c r="G461" t="inlineStr">
        <is>
          <t>KALIX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58353-2022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46303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46303</v>
      </c>
      <c r="F463" t="inlineStr">
        <is>
          <t>NORRBOTTENS LÄN</t>
        </is>
      </c>
      <c r="G463" t="inlineStr">
        <is>
          <t>KALIX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46303</v>
      </c>
      <c r="F464" t="inlineStr">
        <is>
          <t>NORRBOTTENS LÄN</t>
        </is>
      </c>
      <c r="G464" t="inlineStr">
        <is>
          <t>KALIX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46303</v>
      </c>
      <c r="F465" t="inlineStr">
        <is>
          <t>NORRBOTTENS LÄN</t>
        </is>
      </c>
      <c r="G465" t="inlineStr">
        <is>
          <t>KALIX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46303</v>
      </c>
      <c r="F466" t="inlineStr">
        <is>
          <t>NORRBOTTENS LÄN</t>
        </is>
      </c>
      <c r="G466" t="inlineStr">
        <is>
          <t>KALIX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46303</v>
      </c>
      <c r="F467" t="inlineStr">
        <is>
          <t>NORRBOTTENS LÄN</t>
        </is>
      </c>
      <c r="G467" t="inlineStr">
        <is>
          <t>KALIX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46303</v>
      </c>
      <c r="F468" t="inlineStr">
        <is>
          <t>NORRBOTTENS LÄN</t>
        </is>
      </c>
      <c r="G468" t="inlineStr">
        <is>
          <t>KALIX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13619-2026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46097</v>
      </c>
      <c r="E469" s="1" t="n">
        <v>46303</v>
      </c>
      <c r="F469" t="inlineStr">
        <is>
          <t>NORRBOTTENS LÄN</t>
        </is>
      </c>
      <c r="G469" t="inlineStr">
        <is>
          <t>KALIX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46303</v>
      </c>
      <c r="F470" t="inlineStr">
        <is>
          <t>NORRBOTTENS LÄN</t>
        </is>
      </c>
      <c r="G470" t="inlineStr">
        <is>
          <t>KALIX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45510</v>
      </c>
      <c r="E471" s="1" t="n">
        <v>46303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45112</v>
      </c>
      <c r="E472" s="1" t="n">
        <v>46303</v>
      </c>
      <c r="F472" t="inlineStr">
        <is>
          <t>NORRBOTTENS LÄN</t>
        </is>
      </c>
      <c r="G472" t="inlineStr">
        <is>
          <t>KALIX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15002-2026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46303</v>
      </c>
      <c r="F473" t="inlineStr">
        <is>
          <t>NORRBOTTENS LÄN</t>
        </is>
      </c>
      <c r="G473" t="inlineStr">
        <is>
          <t>KALIX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15584-2026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46303</v>
      </c>
      <c r="F474" t="inlineStr">
        <is>
          <t>NORRBOTTENS LÄN</t>
        </is>
      </c>
      <c r="G474" t="inlineStr">
        <is>
          <t>KALIX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60508-2023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45259</v>
      </c>
      <c r="E475" s="1" t="n">
        <v>46303</v>
      </c>
      <c r="F475" t="inlineStr">
        <is>
          <t>NORRBOTTENS LÄN</t>
        </is>
      </c>
      <c r="G475" t="inlineStr">
        <is>
          <t>KALIX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46303</v>
      </c>
      <c r="F476" t="inlineStr">
        <is>
          <t>NORRBOTTENS LÄN</t>
        </is>
      </c>
      <c r="G476" t="inlineStr">
        <is>
          <t>KALIX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46303</v>
      </c>
      <c r="F477" t="inlineStr">
        <is>
          <t>NORRBOTTENS LÄN</t>
        </is>
      </c>
      <c r="G477" t="inlineStr">
        <is>
          <t>KALIX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45641</v>
      </c>
      <c r="E478" s="1" t="n">
        <v>46303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35051-2023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45145</v>
      </c>
      <c r="E479" s="1" t="n">
        <v>46303</v>
      </c>
      <c r="F479" t="inlineStr">
        <is>
          <t>NORRBOTTENS LÄN</t>
        </is>
      </c>
      <c r="G479" t="inlineStr">
        <is>
          <t>KALIX</t>
        </is>
      </c>
      <c r="H479" t="inlineStr">
        <is>
          <t>Sveaskog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46303</v>
      </c>
      <c r="F480" t="inlineStr">
        <is>
          <t>NORRBOTTENS LÄN</t>
        </is>
      </c>
      <c r="G480" t="inlineStr">
        <is>
          <t>KALIX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58578-2023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46303</v>
      </c>
      <c r="F481" t="inlineStr">
        <is>
          <t>NORRBOTTENS LÄN</t>
        </is>
      </c>
      <c r="G481" t="inlineStr">
        <is>
          <t>KALIX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46303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46303</v>
      </c>
      <c r="F483" t="inlineStr">
        <is>
          <t>NORRBOTTENS LÄN</t>
        </is>
      </c>
      <c r="G483" t="inlineStr">
        <is>
          <t>KALIX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44956</v>
      </c>
      <c r="E484" s="1" t="n">
        <v>46303</v>
      </c>
      <c r="F484" t="inlineStr">
        <is>
          <t>NORRBOTTENS LÄN</t>
        </is>
      </c>
      <c r="G484" t="inlineStr">
        <is>
          <t>KALIX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45730</v>
      </c>
      <c r="E485" s="1" t="n">
        <v>46303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45679</v>
      </c>
      <c r="E486" s="1" t="n">
        <v>46303</v>
      </c>
      <c r="F486" t="inlineStr">
        <is>
          <t>NORRBOTTENS LÄN</t>
        </is>
      </c>
      <c r="G486" t="inlineStr">
        <is>
          <t>KALIX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46303</v>
      </c>
      <c r="F487" t="inlineStr">
        <is>
          <t>NORRBOTTENS LÄN</t>
        </is>
      </c>
      <c r="G487" t="inlineStr">
        <is>
          <t>KALIX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45401</v>
      </c>
      <c r="E488" s="1" t="n">
        <v>46303</v>
      </c>
      <c r="F488" t="inlineStr">
        <is>
          <t>NORRBOTTENS LÄN</t>
        </is>
      </c>
      <c r="G488" t="inlineStr">
        <is>
          <t>KALIX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45226</v>
      </c>
      <c r="E489" s="1" t="n">
        <v>46303</v>
      </c>
      <c r="F489" t="inlineStr">
        <is>
          <t>NORRBOTTENS LÄN</t>
        </is>
      </c>
      <c r="G489" t="inlineStr">
        <is>
          <t>KALIX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46128</v>
      </c>
      <c r="E490" s="1" t="n">
        <v>46303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46303</v>
      </c>
      <c r="F491" t="inlineStr">
        <is>
          <t>NORRBOTTENS LÄN</t>
        </is>
      </c>
      <c r="G491" t="inlineStr">
        <is>
          <t>KALIX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46303</v>
      </c>
      <c r="F492" t="inlineStr">
        <is>
          <t>NORRBOTTENS LÄN</t>
        </is>
      </c>
      <c r="G492" t="inlineStr">
        <is>
          <t>KALIX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46303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17.5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19690-2026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46303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57860-2022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44898</v>
      </c>
      <c r="E495" s="1" t="n">
        <v>46303</v>
      </c>
      <c r="F495" t="inlineStr">
        <is>
          <t>NORRBOTTENS LÄN</t>
        </is>
      </c>
      <c r="G495" t="inlineStr">
        <is>
          <t>KALIX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46303</v>
      </c>
      <c r="F496" t="inlineStr">
        <is>
          <t>NORRBOTTENS LÄN</t>
        </is>
      </c>
      <c r="G496" t="inlineStr">
        <is>
          <t>KALIX</t>
        </is>
      </c>
      <c r="I496" t="n">
        <v>17.4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46303</v>
      </c>
      <c r="F497" t="inlineStr">
        <is>
          <t>NORRBOTTENS LÄN</t>
        </is>
      </c>
      <c r="G497" t="inlineStr">
        <is>
          <t>KALIX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46585-2024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45582</v>
      </c>
      <c r="E498" s="1" t="n">
        <v>46303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46135</v>
      </c>
      <c r="E499" s="1" t="n">
        <v>46303</v>
      </c>
      <c r="F499" t="inlineStr">
        <is>
          <t>NORRBOTTENS LÄN</t>
        </is>
      </c>
      <c r="G499" t="inlineStr">
        <is>
          <t>KALIX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46221</v>
      </c>
      <c r="E500" s="1" t="n">
        <v>46303</v>
      </c>
      <c r="F500" t="inlineStr">
        <is>
          <t>NORRBOTTENS LÄN</t>
        </is>
      </c>
      <c r="G500" t="inlineStr">
        <is>
          <t>KALIX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46303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46303</v>
      </c>
      <c r="F502" t="inlineStr">
        <is>
          <t>NORRBOTTENS LÄN</t>
        </is>
      </c>
      <c r="G502" t="inlineStr">
        <is>
          <t>KALIX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46303</v>
      </c>
      <c r="F503" t="inlineStr">
        <is>
          <t>NORRBOTTENS LÄN</t>
        </is>
      </c>
      <c r="G503" t="inlineStr">
        <is>
          <t>KALIX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22480-2024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45446</v>
      </c>
      <c r="E504" s="1" t="n">
        <v>46303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20317-2023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45054</v>
      </c>
      <c r="E505" s="1" t="n">
        <v>46303</v>
      </c>
      <c r="F505" t="inlineStr">
        <is>
          <t>NORRBOTTENS LÄN</t>
        </is>
      </c>
      <c r="G505" t="inlineStr">
        <is>
          <t>KALIX</t>
        </is>
      </c>
      <c r="I505" t="n">
        <v>8.800000000000001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8802-2025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45712</v>
      </c>
      <c r="E506" s="1" t="n">
        <v>46303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58999-2023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46303</v>
      </c>
      <c r="F507" t="inlineStr">
        <is>
          <t>NORRBOTTENS LÄN</t>
        </is>
      </c>
      <c r="G507" t="inlineStr">
        <is>
          <t>KALIX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45385</v>
      </c>
      <c r="E508" s="1" t="n">
        <v>46303</v>
      </c>
      <c r="F508" t="inlineStr">
        <is>
          <t>NORRBOTTENS LÄN</t>
        </is>
      </c>
      <c r="G508" t="inlineStr">
        <is>
          <t>KALIX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59018-2022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46303</v>
      </c>
      <c r="F509" t="inlineStr">
        <is>
          <t>NORRBOTTENS LÄN</t>
        </is>
      </c>
      <c r="G509" t="inlineStr">
        <is>
          <t>KALIX</t>
        </is>
      </c>
      <c r="I509" t="n">
        <v>17.8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45665</v>
      </c>
      <c r="E510" s="1" t="n">
        <v>46303</v>
      </c>
      <c r="F510" t="inlineStr">
        <is>
          <t>NORRBOTTENS LÄN</t>
        </is>
      </c>
      <c r="G510" t="inlineStr">
        <is>
          <t>KALIX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41577-2024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45560</v>
      </c>
      <c r="E511" s="1" t="n">
        <v>46303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46303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46303</v>
      </c>
      <c r="F513" t="inlineStr">
        <is>
          <t>NORRBOTTENS LÄN</t>
        </is>
      </c>
      <c r="G513" t="inlineStr">
        <is>
          <t>KALIX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46303</v>
      </c>
      <c r="F514" t="inlineStr">
        <is>
          <t>NORRBOTTENS LÄN</t>
        </is>
      </c>
      <c r="G514" t="inlineStr">
        <is>
          <t>KALIX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46303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44981</v>
      </c>
      <c r="E516" s="1" t="n">
        <v>46303</v>
      </c>
      <c r="F516" t="inlineStr">
        <is>
          <t>NORRBOTTENS LÄN</t>
        </is>
      </c>
      <c r="G516" t="inlineStr">
        <is>
          <t>KALIX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46303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46303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46303</v>
      </c>
      <c r="F519" t="inlineStr">
        <is>
          <t>NORRBOTTENS LÄN</t>
        </is>
      </c>
      <c r="G519" t="inlineStr">
        <is>
          <t>KALIX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46303</v>
      </c>
      <c r="F520" t="inlineStr">
        <is>
          <t>NORRBOTTENS LÄN</t>
        </is>
      </c>
      <c r="G520" t="inlineStr">
        <is>
          <t>KALIX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46303</v>
      </c>
      <c r="F521" t="inlineStr">
        <is>
          <t>NORRBOTTENS LÄN</t>
        </is>
      </c>
      <c r="G521" t="inlineStr">
        <is>
          <t>KALIX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46303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56470-2023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45237</v>
      </c>
      <c r="E523" s="1" t="n">
        <v>46303</v>
      </c>
      <c r="F523" t="inlineStr">
        <is>
          <t>NORRBOTTENS LÄN</t>
        </is>
      </c>
      <c r="G523" t="inlineStr">
        <is>
          <t>KALIX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45173</v>
      </c>
      <c r="E524" s="1" t="n">
        <v>46303</v>
      </c>
      <c r="F524" t="inlineStr">
        <is>
          <t>NORRBOTTENS LÄN</t>
        </is>
      </c>
      <c r="G524" t="inlineStr">
        <is>
          <t>KALIX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46303</v>
      </c>
      <c r="F525" t="inlineStr">
        <is>
          <t>NORRBOTTENS LÄN</t>
        </is>
      </c>
      <c r="G525" t="inlineStr">
        <is>
          <t>KALIX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46303</v>
      </c>
      <c r="F526" t="inlineStr">
        <is>
          <t>NORRBOTTENS LÄN</t>
        </is>
      </c>
      <c r="G526" t="inlineStr">
        <is>
          <t>KALIX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45058</v>
      </c>
      <c r="E527" s="1" t="n">
        <v>46303</v>
      </c>
      <c r="F527" t="inlineStr">
        <is>
          <t>NORRBOTTENS LÄN</t>
        </is>
      </c>
      <c r="G527" t="inlineStr">
        <is>
          <t>KALIX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46303</v>
      </c>
      <c r="F528" t="inlineStr">
        <is>
          <t>NORRBOTTENS LÄN</t>
        </is>
      </c>
      <c r="G528" t="inlineStr">
        <is>
          <t>KALIX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45542</v>
      </c>
      <c r="E529" s="1" t="n">
        <v>46303</v>
      </c>
      <c r="F529" t="inlineStr">
        <is>
          <t>NORRBOTTENS LÄN</t>
        </is>
      </c>
      <c r="G529" t="inlineStr">
        <is>
          <t>KALIX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44970</v>
      </c>
      <c r="E530" s="1" t="n">
        <v>46303</v>
      </c>
      <c r="F530" t="inlineStr">
        <is>
          <t>NORRBOTTENS LÄN</t>
        </is>
      </c>
      <c r="G530" t="inlineStr">
        <is>
          <t>KALIX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44964</v>
      </c>
      <c r="E531" s="1" t="n">
        <v>46303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46274</v>
      </c>
      <c r="E532" s="1" t="n">
        <v>46303</v>
      </c>
      <c r="F532" t="inlineStr">
        <is>
          <t>NORRBOTTENS LÄN</t>
        </is>
      </c>
      <c r="G532" t="inlineStr">
        <is>
          <t>KALIX</t>
        </is>
      </c>
      <c r="I532" t="n">
        <v>11.7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46274</v>
      </c>
      <c r="E533" s="1" t="n">
        <v>46303</v>
      </c>
      <c r="F533" t="inlineStr">
        <is>
          <t>NORRBOTTENS LÄN</t>
        </is>
      </c>
      <c r="G533" t="inlineStr">
        <is>
          <t>KALIX</t>
        </is>
      </c>
      <c r="I533" t="n">
        <v>16.4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45638</v>
      </c>
      <c r="E534" s="1" t="n">
        <v>46303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32114-2026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46233</v>
      </c>
      <c r="E535" s="1" t="n">
        <v>46303</v>
      </c>
      <c r="F535" t="inlineStr">
        <is>
          <t>NORRBOTTENS LÄN</t>
        </is>
      </c>
      <c r="G535" t="inlineStr">
        <is>
          <t>KALIX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46303</v>
      </c>
      <c r="F536" t="inlineStr">
        <is>
          <t>NORRBOTTENS LÄN</t>
        </is>
      </c>
      <c r="G536" t="inlineStr">
        <is>
          <t>KALIX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46303</v>
      </c>
      <c r="F537" t="inlineStr">
        <is>
          <t>NORRBOTTENS LÄN</t>
        </is>
      </c>
      <c r="G537" t="inlineStr">
        <is>
          <t>KALIX</t>
        </is>
      </c>
      <c r="H537" t="inlineStr">
        <is>
          <t>Sveaskog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45660</v>
      </c>
      <c r="E538" s="1" t="n">
        <v>46303</v>
      </c>
      <c r="F538" t="inlineStr">
        <is>
          <t>NORRBOTTENS LÄN</t>
        </is>
      </c>
      <c r="G538" t="inlineStr">
        <is>
          <t>KALIX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46303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46303</v>
      </c>
      <c r="F540" t="inlineStr">
        <is>
          <t>NORRBOTTENS LÄN</t>
        </is>
      </c>
      <c r="G540" t="inlineStr">
        <is>
          <t>KALIX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46303</v>
      </c>
      <c r="F541" t="inlineStr">
        <is>
          <t>NORRBOTTENS LÄN</t>
        </is>
      </c>
      <c r="G541" t="inlineStr">
        <is>
          <t>KALIX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46275</v>
      </c>
      <c r="E542" s="1" t="n">
        <v>46303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46303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46303</v>
      </c>
      <c r="F544" t="inlineStr">
        <is>
          <t>NORRBOTTENS LÄN</t>
        </is>
      </c>
      <c r="G544" t="inlineStr">
        <is>
          <t>KALIX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46303</v>
      </c>
      <c r="F545" t="inlineStr">
        <is>
          <t>NORRBOTTENS LÄN</t>
        </is>
      </c>
      <c r="G545" t="inlineStr">
        <is>
          <t>KALIX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46303</v>
      </c>
      <c r="F546" t="inlineStr">
        <is>
          <t>NORRBOTTENS LÄN</t>
        </is>
      </c>
      <c r="G546" t="inlineStr">
        <is>
          <t>KALIX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46303</v>
      </c>
      <c r="F547" t="inlineStr">
        <is>
          <t>NORRBOTTENS LÄN</t>
        </is>
      </c>
      <c r="G547" t="inlineStr">
        <is>
          <t>KALIX</t>
        </is>
      </c>
      <c r="H547" t="inlineStr">
        <is>
          <t>Sveaskog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46303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46303</v>
      </c>
      <c r="F549" t="inlineStr">
        <is>
          <t>NORRBOTTENS LÄN</t>
        </is>
      </c>
      <c r="G549" t="inlineStr">
        <is>
          <t>KALIX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46238</v>
      </c>
      <c r="E550" s="1" t="n">
        <v>46303</v>
      </c>
      <c r="F550" t="inlineStr">
        <is>
          <t>NORRBOTTENS LÄN</t>
        </is>
      </c>
      <c r="G550" t="inlineStr">
        <is>
          <t>KALIX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46238</v>
      </c>
      <c r="E551" s="1" t="n">
        <v>46303</v>
      </c>
      <c r="F551" t="inlineStr">
        <is>
          <t>NORRBOTTENS LÄN</t>
        </is>
      </c>
      <c r="G551" t="inlineStr">
        <is>
          <t>KALIX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46303</v>
      </c>
      <c r="F552" t="inlineStr">
        <is>
          <t>NORRBOTTENS LÄN</t>
        </is>
      </c>
      <c r="G552" t="inlineStr">
        <is>
          <t>KALIX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38427-2026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46282</v>
      </c>
      <c r="E553" s="1" t="n">
        <v>46303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46303</v>
      </c>
      <c r="F554" t="inlineStr">
        <is>
          <t>NORRBOTTENS LÄN</t>
        </is>
      </c>
      <c r="G554" t="inlineStr">
        <is>
          <t>KALIX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46303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46303</v>
      </c>
      <c r="F556" t="inlineStr">
        <is>
          <t>NORRBOTTENS LÄN</t>
        </is>
      </c>
      <c r="G556" t="inlineStr">
        <is>
          <t>KALIX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46303</v>
      </c>
      <c r="F557" t="inlineStr">
        <is>
          <t>NORRBOTTENS LÄN</t>
        </is>
      </c>
      <c r="G557" t="inlineStr">
        <is>
          <t>KALIX</t>
        </is>
      </c>
      <c r="I557" t="n">
        <v>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46303</v>
      </c>
      <c r="F558" t="inlineStr">
        <is>
          <t>NORRBOTTENS LÄN</t>
        </is>
      </c>
      <c r="G558" t="inlineStr">
        <is>
          <t>KALIX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46303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46303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46303</v>
      </c>
      <c r="F561" t="inlineStr">
        <is>
          <t>NORRBOTTENS LÄN</t>
        </is>
      </c>
      <c r="G561" t="inlineStr">
        <is>
          <t>KALIX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46303</v>
      </c>
      <c r="F562" t="inlineStr">
        <is>
          <t>NORRBOTTENS LÄN</t>
        </is>
      </c>
      <c r="G562" t="inlineStr">
        <is>
          <t>KALIX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62979-2025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46303</v>
      </c>
      <c r="F563" t="inlineStr">
        <is>
          <t>NORRBOTTENS LÄN</t>
        </is>
      </c>
      <c r="G563" t="inlineStr">
        <is>
          <t>KALIX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46303</v>
      </c>
      <c r="F564" t="inlineStr">
        <is>
          <t>NORRBOTTENS LÄN</t>
        </is>
      </c>
      <c r="G564" t="inlineStr">
        <is>
          <t>KALIX</t>
        </is>
      </c>
      <c r="I564" t="n">
        <v>19.3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46303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46303</v>
      </c>
      <c r="F566" t="inlineStr">
        <is>
          <t>NORRBOTTENS LÄN</t>
        </is>
      </c>
      <c r="G566" t="inlineStr">
        <is>
          <t>KALIX</t>
        </is>
      </c>
      <c r="I566" t="n">
        <v>8.800000000000001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39634-2026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46303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46290</v>
      </c>
      <c r="E568" s="1" t="n">
        <v>46303</v>
      </c>
      <c r="F568" t="inlineStr">
        <is>
          <t>NORRBOTTENS LÄN</t>
        </is>
      </c>
      <c r="G568" t="inlineStr">
        <is>
          <t>KALIX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46303</v>
      </c>
      <c r="F569" t="inlineStr">
        <is>
          <t>NORRBOTTENS LÄN</t>
        </is>
      </c>
      <c r="G569" t="inlineStr">
        <is>
          <t>KALIX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46303</v>
      </c>
      <c r="F570" t="inlineStr">
        <is>
          <t>NORRBOTTENS LÄN</t>
        </is>
      </c>
      <c r="G570" t="inlineStr">
        <is>
          <t>KALIX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46303</v>
      </c>
      <c r="F571" t="inlineStr">
        <is>
          <t>NORRBOTTENS LÄN</t>
        </is>
      </c>
      <c r="G571" t="inlineStr">
        <is>
          <t>KALIX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46303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46303</v>
      </c>
      <c r="F573" t="inlineStr">
        <is>
          <t>NORRBOTTENS LÄN</t>
        </is>
      </c>
      <c r="G573" t="inlineStr">
        <is>
          <t>KALIX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46303</v>
      </c>
      <c r="F574" t="inlineStr">
        <is>
          <t>NORRBOTTENS LÄN</t>
        </is>
      </c>
      <c r="G574" t="inlineStr">
        <is>
          <t>KALIX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46303</v>
      </c>
      <c r="F575" t="inlineStr">
        <is>
          <t>NORRBOTTENS LÄN</t>
        </is>
      </c>
      <c r="G575" t="inlineStr">
        <is>
          <t>KALIX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45005</v>
      </c>
      <c r="E576" s="1" t="n">
        <v>46303</v>
      </c>
      <c r="F576" t="inlineStr">
        <is>
          <t>NORRBOTTENS LÄN</t>
        </is>
      </c>
      <c r="G576" t="inlineStr">
        <is>
          <t>KALIX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46303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46303</v>
      </c>
      <c r="F578" t="inlineStr">
        <is>
          <t>NORRBOTTENS LÄN</t>
        </is>
      </c>
      <c r="G578" t="inlineStr">
        <is>
          <t>KALIX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46303</v>
      </c>
      <c r="F579" t="inlineStr">
        <is>
          <t>NORRBOTTENS LÄN</t>
        </is>
      </c>
      <c r="G579" t="inlineStr">
        <is>
          <t>KALIX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46303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46303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47429-2025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45930</v>
      </c>
      <c r="E582" s="1" t="n">
        <v>46303</v>
      </c>
      <c r="F582" t="inlineStr">
        <is>
          <t>NORRBOTTENS LÄN</t>
        </is>
      </c>
      <c r="G582" t="inlineStr">
        <is>
          <t>KALIX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46303</v>
      </c>
      <c r="F583" t="inlineStr">
        <is>
          <t>NORRBOTTENS LÄN</t>
        </is>
      </c>
      <c r="G583" t="inlineStr">
        <is>
          <t>KALIX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46303</v>
      </c>
      <c r="F584" t="inlineStr">
        <is>
          <t>NORRBOTTENS LÄN</t>
        </is>
      </c>
      <c r="G584" t="inlineStr">
        <is>
          <t>KALIX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46303</v>
      </c>
      <c r="F585" t="inlineStr">
        <is>
          <t>NORRBOTTENS LÄN</t>
        </is>
      </c>
      <c r="G585" t="inlineStr">
        <is>
          <t>KALIX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46303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46303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46303</v>
      </c>
      <c r="F588" t="inlineStr">
        <is>
          <t>NORRBOTTENS LÄN</t>
        </is>
      </c>
      <c r="G588" t="inlineStr">
        <is>
          <t>KALIX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46303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46303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46303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46303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46303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46303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46303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46303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46303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46303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46303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46303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46303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46303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46303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46303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46303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46303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46303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2026-10-08T02:05:32Z</dcterms:created>
  <dcterms:modified xmlns:dcterms="http://purl.org/dc/terms/" xmlns:xsi="http://www.w3.org/2001/XMLSchema-instance" xsi:type="dcterms:W3CDTF">2026-10-08T02:05:32Z</dcterms:modified>
</cp:coreProperties>
</file>