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46326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46326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46326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46326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46326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 (aggregat)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46326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 (aggregat)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43397-2026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46310</v>
      </c>
      <c r="E8" s="1" t="n">
        <v>46326</v>
      </c>
      <c r="F8" t="inlineStr">
        <is>
          <t>NORRBOTTENS LÄN</t>
        </is>
      </c>
      <c r="G8" t="inlineStr">
        <is>
          <t>KALIX</t>
        </is>
      </c>
      <c r="I8" t="n">
        <v>26.7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30</v>
      </c>
      <c r="U8" t="n">
        <v>30</v>
      </c>
      <c r="V8" s="2" t="inlineStr">
        <is>
          <t>Garnlav
Harticka
Tretåig hackspett
Vitgrynig nållav
Mörk husmossa
Stuplav
Vedticka</t>
        </is>
      </c>
      <c r="W8">
        <f>HYPERLINK("https://klasma.github.io/Logging_2514/artfynd/A 43397-2026 artfynd.xlsx", "A 43397-2026")</f>
        <v/>
      </c>
      <c r="X8">
        <f>HYPERLINK("https://klasma.github.io/Logging_2514/kartor/A 43397-2026 karta.png", "A 43397-2026")</f>
        <v/>
      </c>
      <c r="Y8">
        <f>HYPERLINK("https://klasma.github.io/Logging_2514/kartor_geotiff/A 43397-2026 georefererad karta.tif", "A 43397-2026")</f>
        <v/>
      </c>
      <c r="AA8">
        <f>HYPERLINK("https://klasma.github.io/Logging_2514/klagomål/A 43397-2026 FSC-klagomål.docx", "A 43397-2026")</f>
        <v/>
      </c>
      <c r="AB8">
        <f>HYPERLINK("https://klasma.github.io/Logging_2514/klagomålsmail/A 43397-2026 FSC-klagomål mail.docx", "A 43397-2026")</f>
        <v/>
      </c>
      <c r="AC8">
        <f>HYPERLINK("https://klasma.github.io/Logging_2514/tillsyn/A 43397-2026 tillsynsbegäran.docx", "A 43397-2026")</f>
        <v/>
      </c>
      <c r="AD8">
        <f>HYPERLINK("https://klasma.github.io/Logging_2514/tillsynsmail/A 43397-2026 tillsynsbegäran mail.docx", "A 43397-2026")</f>
        <v/>
      </c>
      <c r="AE8">
        <f>HYPERLINK("https://klasma.github.io/Logging_2514/fåglar/A 43397-2026 prioriterade fågelarter.docx", "A 43397-2026")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46326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46326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46326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A 43147-2026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46311</v>
      </c>
      <c r="E12" s="1" t="n">
        <v>46326</v>
      </c>
      <c r="F12" t="inlineStr">
        <is>
          <t>NORRBOTTENS LÄN</t>
        </is>
      </c>
      <c r="G12" t="inlineStr">
        <is>
          <t>KALIX</t>
        </is>
      </c>
      <c r="I12" t="n">
        <v>13.1</v>
      </c>
      <c r="J12" t="n">
        <v>0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5</v>
      </c>
      <c r="T12" t="n">
        <v>14</v>
      </c>
      <c r="U12" t="n">
        <v>0</v>
      </c>
      <c r="V12" s="2" t="inlineStr">
        <is>
          <t>Lakritsmusseron
Skrovlig taggsvamp
Tallgråticka
Blå taggsvamp
Talltaggsvamp</t>
        </is>
      </c>
      <c r="W12">
        <f>HYPERLINK("https://klasma.github.io/Logging_2514/artfynd/A 43147-2026 artfynd.xlsx", "A 43147-2026")</f>
        <v/>
      </c>
      <c r="X12">
        <f>HYPERLINK("https://klasma.github.io/Logging_2514/kartor/A 43147-2026 karta.png", "A 43147-2026")</f>
        <v/>
      </c>
      <c r="Y12">
        <f>HYPERLINK("https://klasma.github.io/Logging_2514/kartor_geotiff/A 43147-2026 georefererad karta.tif", "A 43147-2026")</f>
        <v/>
      </c>
      <c r="AA12">
        <f>HYPERLINK("https://klasma.github.io/Logging_2514/klagomål/A 43147-2026 FSC-klagomål.docx", "A 43147-2026")</f>
        <v/>
      </c>
      <c r="AB12">
        <f>HYPERLINK("https://klasma.github.io/Logging_2514/klagomålsmail/A 43147-2026 FSC-klagomål mail.docx", "A 43147-2026")</f>
        <v/>
      </c>
      <c r="AC12">
        <f>HYPERLINK("https://klasma.github.io/Logging_2514/tillsyn/A 43147-2026 tillsynsbegäran.docx", "A 43147-2026")</f>
        <v/>
      </c>
      <c r="AD12">
        <f>HYPERLINK("https://klasma.github.io/Logging_2514/tillsynsmail/A 43147-2026 tillsynsbegäran mail.docx", "A 43147-2026")</f>
        <v/>
      </c>
    </row>
    <row r="13" ht="15" customHeight="1">
      <c r="A13" t="inlineStr">
        <is>
          <t>S 113-2023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44936</v>
      </c>
      <c r="E13" s="1" t="n">
        <v>46326</v>
      </c>
      <c r="F13" t="inlineStr">
        <is>
          <t>NORRBOTTENS LÄN</t>
        </is>
      </c>
      <c r="G13" t="inlineStr">
        <is>
          <t>KALIX</t>
        </is>
      </c>
      <c r="H13" t="inlineStr">
        <is>
          <t>SCA</t>
        </is>
      </c>
      <c r="I13" t="n">
        <v>536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5</v>
      </c>
      <c r="V13" s="2" t="inlineStr">
        <is>
          <t>Nordfladdermus
Plattlummer
Sälg
Tjäder
Vattenfladdermus</t>
        </is>
      </c>
      <c r="W13">
        <f>HYPERLINK("https://klasma.github.io/Logging_2514/artfynd/S 113-2023 artfynd.xlsx", "S 113-2023")</f>
        <v/>
      </c>
      <c r="X13">
        <f>HYPERLINK("https://klasma.github.io/Logging_2514/kartor/S 113-2023 karta.png", "S 113-2023")</f>
        <v/>
      </c>
      <c r="Y13">
        <f>HYPERLINK("https://klasma.github.io/Logging_2514/kartor_geotiff/S 113-2023 georefererad karta.tif", "S 113-2023")</f>
        <v/>
      </c>
      <c r="Z13">
        <f>HYPERLINK("https://klasma.github.io/Logging_2514/knärot/S 113-2023 karta knärot.png", "S 113-2023")</f>
        <v/>
      </c>
      <c r="AA13">
        <f>HYPERLINK("https://klasma.github.io/Logging_2514/klagomål/S 113-2023 FSC-klagomål.docx", "S 113-2023")</f>
        <v/>
      </c>
      <c r="AB13">
        <f>HYPERLINK("https://klasma.github.io/Logging_2514/klagomålsmail/S 113-2023 FSC-klagomål mail.docx", "S 113-2023")</f>
        <v/>
      </c>
      <c r="AC13">
        <f>HYPERLINK("https://klasma.github.io/Logging_2514/tillsyn/S 113-2023 tillsynsbegäran.docx", "S 113-2023")</f>
        <v/>
      </c>
      <c r="AD13">
        <f>HYPERLINK("https://klasma.github.io/Logging_2514/tillsynsmail/S 113-2023 tillsynsbegäran mail.docx", "S 113-2023")</f>
        <v/>
      </c>
      <c r="AE13">
        <f>HYPERLINK("https://klasma.github.io/Logging_2514/fåglar/S 113-2023 prioriterade fågelarter.docx", "S 113-2023")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46326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46326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42826-2024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46326</v>
      </c>
      <c r="F16" t="inlineStr">
        <is>
          <t>NORRBOTTENS LÄN</t>
        </is>
      </c>
      <c r="G16" t="inlineStr">
        <is>
          <t>KALIX</t>
        </is>
      </c>
      <c r="I16" t="n">
        <v>4.5</v>
      </c>
      <c r="J16" t="n">
        <v>0</v>
      </c>
      <c r="K16" t="n">
        <v>0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Bitter taggsvamp
Grantaggsvamp
Svartvit taggsvamp</t>
        </is>
      </c>
      <c r="W16">
        <f>HYPERLINK("https://klasma.github.io/Logging_2514/artfynd/A 42826-2024 artfynd.xlsx", "A 42826-2024")</f>
        <v/>
      </c>
      <c r="X16">
        <f>HYPERLINK("https://klasma.github.io/Logging_2514/kartor/A 42826-2024 karta.png", "A 42826-2024")</f>
        <v/>
      </c>
      <c r="Y16">
        <f>HYPERLINK("https://klasma.github.io/Logging_2514/kartor_geotiff/A 42826-2024 georefererad karta.tif", "A 42826-2024")</f>
        <v/>
      </c>
      <c r="AA16">
        <f>HYPERLINK("https://klasma.github.io/Logging_2514/klagomål/A 42826-2024 FSC-klagomål.docx", "A 42826-2024")</f>
        <v/>
      </c>
      <c r="AB16">
        <f>HYPERLINK("https://klasma.github.io/Logging_2514/klagomålsmail/A 42826-2024 FSC-klagomål mail.docx", "A 42826-2024")</f>
        <v/>
      </c>
      <c r="AC16">
        <f>HYPERLINK("https://klasma.github.io/Logging_2514/tillsyn/A 42826-2024 tillsynsbegäran.docx", "A 42826-2024")</f>
        <v/>
      </c>
      <c r="AD16">
        <f>HYPERLINK("https://klasma.github.io/Logging_2514/tillsynsmail/A 42826-2024 tillsynsbegäran mail.docx", "A 42826-2024")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46326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Tibast
Äkta lopplummer</t>
        </is>
      </c>
      <c r="W17">
        <f>HYPERLINK("https://klasma.github.io/Logging_2514/artfynd/A 62537-2023 artfynd.xlsx", "A 62537-2023")</f>
        <v/>
      </c>
      <c r="X17">
        <f>HYPERLINK("https://klasma.github.io/Logging_2514/kartor/A 62537-2023 karta.png", "A 62537-2023")</f>
        <v/>
      </c>
      <c r="Y17">
        <f>HYPERLINK("https://klasma.github.io/Logging_2514/kartor_geotiff/A 62537-2023 georefererad karta.tif", "A 62537-2023")</f>
        <v/>
      </c>
      <c r="AA17">
        <f>HYPERLINK("https://klasma.github.io/Logging_2514/klagomål/A 62537-2023 FSC-klagomål.docx", "A 62537-2023")</f>
        <v/>
      </c>
      <c r="AB17">
        <f>HYPERLINK("https://klasma.github.io/Logging_2514/klagomålsmail/A 62537-2023 FSC-klagomål mail.docx", "A 62537-2023")</f>
        <v/>
      </c>
      <c r="AC17">
        <f>HYPERLINK("https://klasma.github.io/Logging_2514/tillsyn/A 62537-2023 tillsynsbegäran.docx", "A 62537-2023")</f>
        <v/>
      </c>
      <c r="AD17">
        <f>HYPERLINK("https://klasma.github.io/Logging_2514/tillsynsmail/A 62537-2023 tillsynsbegäran mail.docx", "A 62537-2023")</f>
        <v/>
      </c>
    </row>
    <row r="18" ht="15" customHeight="1">
      <c r="A18" t="inlineStr">
        <is>
          <t>A 24923-2022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46326</v>
      </c>
      <c r="F18" t="inlineStr">
        <is>
          <t>NORRBOTTENS LÄN</t>
        </is>
      </c>
      <c r="G18" t="inlineStr">
        <is>
          <t>KALIX</t>
        </is>
      </c>
      <c r="H18" t="inlineStr">
        <is>
          <t>Sveaskog</t>
        </is>
      </c>
      <c r="I18" t="n">
        <v>2.9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Gammelgransskål</t>
        </is>
      </c>
      <c r="W18">
        <f>HYPERLINK("https://klasma.github.io/Logging_2514/artfynd/A 24923-2022 artfynd.xlsx", "A 24923-2022")</f>
        <v/>
      </c>
      <c r="X18">
        <f>HYPERLINK("https://klasma.github.io/Logging_2514/kartor/A 24923-2022 karta.png", "A 24923-2022")</f>
        <v/>
      </c>
      <c r="Y18">
        <f>HYPERLINK("https://klasma.github.io/Logging_2514/kartor_geotiff/A 24923-2022 georefererad karta.tif", "A 24923-2022")</f>
        <v/>
      </c>
      <c r="AA18">
        <f>HYPERLINK("https://klasma.github.io/Logging_2514/klagomål/A 24923-2022 FSC-klagomål.docx", "A 24923-2022")</f>
        <v/>
      </c>
      <c r="AB18">
        <f>HYPERLINK("https://klasma.github.io/Logging_2514/klagomålsmail/A 24923-2022 FSC-klagomål mail.docx", "A 24923-2022")</f>
        <v/>
      </c>
      <c r="AC18">
        <f>HYPERLINK("https://klasma.github.io/Logging_2514/tillsyn/A 24923-2022 tillsynsbegäran.docx", "A 24923-2022")</f>
        <v/>
      </c>
      <c r="AD18">
        <f>HYPERLINK("https://klasma.github.io/Logging_2514/tillsynsmail/A 24923-2022 tillsynsbegäran mail.docx", "A 24923-2022")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46326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A 29564-2026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46204</v>
      </c>
      <c r="E20" s="1" t="n">
        <v>46326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1.1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Rävticka</t>
        </is>
      </c>
      <c r="W20">
        <f>HYPERLINK("https://klasma.github.io/Logging_2514/artfynd/A 29564-2026 artfynd.xlsx", "A 29564-2026")</f>
        <v/>
      </c>
      <c r="X20">
        <f>HYPERLINK("https://klasma.github.io/Logging_2514/kartor/A 29564-2026 karta.png", "A 29564-2026")</f>
        <v/>
      </c>
      <c r="Y20">
        <f>HYPERLINK("https://klasma.github.io/Logging_2514/kartor_geotiff/A 29564-2026 georefererad karta.tif", "A 29564-2026")</f>
        <v/>
      </c>
      <c r="AA20">
        <f>HYPERLINK("https://klasma.github.io/Logging_2514/klagomål/A 29564-2026 FSC-klagomål.docx", "A 29564-2026")</f>
        <v/>
      </c>
      <c r="AB20">
        <f>HYPERLINK("https://klasma.github.io/Logging_2514/klagomålsmail/A 29564-2026 FSC-klagomål mail.docx", "A 29564-2026")</f>
        <v/>
      </c>
      <c r="AC20">
        <f>HYPERLINK("https://klasma.github.io/Logging_2514/tillsyn/A 29564-2026 tillsynsbegäran.docx", "A 29564-2026")</f>
        <v/>
      </c>
      <c r="AD20">
        <f>HYPERLINK("https://klasma.github.io/Logging_2514/tillsynsmail/A 29564-2026 tillsynsbegäran mail.docx", "A 29564-2026")</f>
        <v/>
      </c>
    </row>
    <row r="21" ht="15" customHeight="1">
      <c r="A21" t="inlineStr">
        <is>
          <t>A 31974-2026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46232</v>
      </c>
      <c r="E21" s="1" t="n">
        <v>46326</v>
      </c>
      <c r="F21" t="inlineStr">
        <is>
          <t>NORRBOTTENS LÄN</t>
        </is>
      </c>
      <c r="G21" t="inlineStr">
        <is>
          <t>KALIX</t>
        </is>
      </c>
      <c r="H21" t="inlineStr">
        <is>
          <t>Kommuner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Brudborste
Sälg</t>
        </is>
      </c>
      <c r="W21">
        <f>HYPERLINK("https://klasma.github.io/Logging_2514/artfynd/A 31974-2026 artfynd.xlsx", "A 31974-2026")</f>
        <v/>
      </c>
      <c r="X21">
        <f>HYPERLINK("https://klasma.github.io/Logging_2514/kartor/A 31974-2026 karta.png", "A 31974-2026")</f>
        <v/>
      </c>
      <c r="Y21">
        <f>HYPERLINK("https://klasma.github.io/Logging_2514/kartor_geotiff/A 31974-2026 georefererad karta.tif", "A 31974-2026")</f>
        <v/>
      </c>
      <c r="AA21">
        <f>HYPERLINK("https://klasma.github.io/Logging_2514/klagomål/A 31974-2026 FSC-klagomål.docx", "A 31974-2026")</f>
        <v/>
      </c>
      <c r="AB21">
        <f>HYPERLINK("https://klasma.github.io/Logging_2514/klagomålsmail/A 31974-2026 FSC-klagomål mail.docx", "A 31974-2026")</f>
        <v/>
      </c>
      <c r="AC21">
        <f>HYPERLINK("https://klasma.github.io/Logging_2514/tillsyn/A 31974-2026 tillsynsbegäran.docx", "A 31974-2026")</f>
        <v/>
      </c>
      <c r="AD21">
        <f>HYPERLINK("https://klasma.github.io/Logging_2514/tillsynsmail/A 31974-2026 tillsynsbegäran mail.docx", "A 31974-2026")</f>
        <v/>
      </c>
    </row>
    <row r="22" ht="15" customHeight="1">
      <c r="A22" t="inlineStr">
        <is>
          <t>S 188-2023</t>
        </is>
      </c>
      <c r="B22" t="inlineStr">
        <is>
          <t>samrådsanmälan</t>
        </is>
      </c>
      <c r="C22" t="inlineStr">
        <is>
          <t>Skogsgödsling</t>
        </is>
      </c>
      <c r="D22" s="1" t="n">
        <v>44944</v>
      </c>
      <c r="E22" s="1" t="n">
        <v>46326</v>
      </c>
      <c r="F22" t="inlineStr">
        <is>
          <t>NORRBOTTENS LÄN</t>
        </is>
      </c>
      <c r="G22" t="inlineStr">
        <is>
          <t>KALIX</t>
        </is>
      </c>
      <c r="H22" t="inlineStr">
        <is>
          <t>SCA</t>
        </is>
      </c>
      <c r="I22" t="n">
        <v>340.7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Repestarr
Revlummer</t>
        </is>
      </c>
      <c r="W22">
        <f>HYPERLINK("https://klasma.github.io/Logging_2514/artfynd/S 188-2023 artfynd.xlsx", "S 188-2023")</f>
        <v/>
      </c>
      <c r="X22">
        <f>HYPERLINK("https://klasma.github.io/Logging_2514/kartor/S 188-2023 karta.png", "S 188-2023")</f>
        <v/>
      </c>
      <c r="Y22">
        <f>HYPERLINK("https://klasma.github.io/Logging_2514/kartor_geotiff/S 188-2023 georefererad karta.tif", "S 188-2023")</f>
        <v/>
      </c>
      <c r="AA22">
        <f>HYPERLINK("https://klasma.github.io/Logging_2514/klagomål/S 188-2023 FSC-klagomål.docx", "S 188-2023")</f>
        <v/>
      </c>
      <c r="AB22">
        <f>HYPERLINK("https://klasma.github.io/Logging_2514/klagomålsmail/S 188-2023 FSC-klagomål mail.docx", "S 188-2023")</f>
        <v/>
      </c>
      <c r="AC22">
        <f>HYPERLINK("https://klasma.github.io/Logging_2514/tillsyn/S 188-2023 tillsynsbegäran.docx", "S 188-2023")</f>
        <v/>
      </c>
      <c r="AD22">
        <f>HYPERLINK("https://klasma.github.io/Logging_2514/tillsynsmail/S 188-2023 tillsynsbegäran mail.docx", "S 188-2023")</f>
        <v/>
      </c>
    </row>
    <row r="23" ht="15" customHeight="1">
      <c r="A23" t="inlineStr">
        <is>
          <t>S 657-2025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45715</v>
      </c>
      <c r="E23" s="1" t="n">
        <v>46326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8.9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Fläckporing
Tallticka</t>
        </is>
      </c>
      <c r="W23">
        <f>HYPERLINK("https://klasma.github.io/Logging_2514/artfynd/S 657-2025 artfynd.xlsx", "S 657-2025")</f>
        <v/>
      </c>
      <c r="X23">
        <f>HYPERLINK("https://klasma.github.io/Logging_2514/kartor/S 657-2025 karta.png", "S 657-2025")</f>
        <v/>
      </c>
      <c r="Y23">
        <f>HYPERLINK("https://klasma.github.io/Logging_2514/kartor_geotiff/S 657-2025 georefererad karta.tif", "S 657-2025")</f>
        <v/>
      </c>
      <c r="AA23">
        <f>HYPERLINK("https://klasma.github.io/Logging_2514/klagomål/S 657-2025 FSC-klagomål.docx", "S 657-2025")</f>
        <v/>
      </c>
      <c r="AB23">
        <f>HYPERLINK("https://klasma.github.io/Logging_2514/klagomålsmail/S 657-2025 FSC-klagomål mail.docx", "S 657-2025")</f>
        <v/>
      </c>
      <c r="AC23">
        <f>HYPERLINK("https://klasma.github.io/Logging_2514/tillsyn/S 657-2025 tillsynsbegäran.docx", "S 657-2025")</f>
        <v/>
      </c>
      <c r="AD23">
        <f>HYPERLINK("https://klasma.github.io/Logging_2514/tillsynsmail/S 657-2025 tillsynsbegäran mail.docx", "S 657-2025")</f>
        <v/>
      </c>
    </row>
    <row r="24" ht="15" customHeight="1">
      <c r="A24" t="inlineStr">
        <is>
          <t>A 34184-2022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46326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15.2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Garnlav</t>
        </is>
      </c>
      <c r="W24">
        <f>HYPERLINK("https://klasma.github.io/Logging_2514/artfynd/A 34184-2022 artfynd.xlsx", "A 34184-2022")</f>
        <v/>
      </c>
      <c r="X24">
        <f>HYPERLINK("https://klasma.github.io/Logging_2514/kartor/A 34184-2022 karta.png", "A 34184-2022")</f>
        <v/>
      </c>
      <c r="Y24">
        <f>HYPERLINK("https://klasma.github.io/Logging_2514/kartor_geotiff/A 34184-2022 georefererad karta.tif", "A 34184-2022")</f>
        <v/>
      </c>
      <c r="AA24">
        <f>HYPERLINK("https://klasma.github.io/Logging_2514/klagomål/A 34184-2022 FSC-klagomål.docx", "A 34184-2022")</f>
        <v/>
      </c>
      <c r="AB24">
        <f>HYPERLINK("https://klasma.github.io/Logging_2514/klagomålsmail/A 34184-2022 FSC-klagomål mail.docx", "A 34184-2022")</f>
        <v/>
      </c>
      <c r="AC24">
        <f>HYPERLINK("https://klasma.github.io/Logging_2514/tillsyn/A 34184-2022 tillsynsbegäran.docx", "A 34184-2022")</f>
        <v/>
      </c>
      <c r="AD24">
        <f>HYPERLINK("https://klasma.github.io/Logging_2514/tillsynsmail/A 34184-2022 tillsynsbegäran mail.docx", "A 34184-2022")</f>
        <v/>
      </c>
    </row>
    <row r="25" ht="15" customHeight="1">
      <c r="A25" t="inlineStr">
        <is>
          <t>A 3387-2023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44945</v>
      </c>
      <c r="E25" s="1" t="n">
        <v>46326</v>
      </c>
      <c r="F25" t="inlineStr">
        <is>
          <t>NORRBOTTENS LÄN</t>
        </is>
      </c>
      <c r="G25" t="inlineStr">
        <is>
          <t>KALIX</t>
        </is>
      </c>
      <c r="I25" t="n">
        <v>2.9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Guckusko</t>
        </is>
      </c>
      <c r="W25">
        <f>HYPERLINK("https://klasma.github.io/Logging_2514/artfynd/A 3387-2023 artfynd.xlsx", "A 3387-2023")</f>
        <v/>
      </c>
      <c r="X25">
        <f>HYPERLINK("https://klasma.github.io/Logging_2514/kartor/A 3387-2023 karta.png", "A 3387-2023")</f>
        <v/>
      </c>
      <c r="Y25">
        <f>HYPERLINK("https://klasma.github.io/Logging_2514/kartor_geotiff/A 3387-2023 georefererad karta.tif", "A 3387-2023")</f>
        <v/>
      </c>
      <c r="AA25">
        <f>HYPERLINK("https://klasma.github.io/Logging_2514/klagomål/A 3387-2023 FSC-klagomål.docx", "A 3387-2023")</f>
        <v/>
      </c>
      <c r="AB25">
        <f>HYPERLINK("https://klasma.github.io/Logging_2514/klagomålsmail/A 3387-2023 FSC-klagomål mail.docx", "A 3387-2023")</f>
        <v/>
      </c>
      <c r="AC25">
        <f>HYPERLINK("https://klasma.github.io/Logging_2514/tillsyn/A 3387-2023 tillsynsbegäran.docx", "A 3387-2023")</f>
        <v/>
      </c>
      <c r="AD25">
        <f>HYPERLINK("https://klasma.github.io/Logging_2514/tillsynsmail/A 3387-2023 tillsynsbegäran mail.docx", "A 3387-2023")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46326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10071-2024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46326</v>
      </c>
      <c r="F28" t="inlineStr">
        <is>
          <t>NORRBOTTENS LÄN</t>
        </is>
      </c>
      <c r="G28" t="inlineStr">
        <is>
          <t>KALIX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Garnlav</t>
        </is>
      </c>
      <c r="W28">
        <f>HYPERLINK("https://klasma.github.io/Logging_2514/artfynd/A 10071-2024 artfynd.xlsx", "A 10071-2024")</f>
        <v/>
      </c>
      <c r="X28">
        <f>HYPERLINK("https://klasma.github.io/Logging_2514/kartor/A 10071-2024 karta.png", "A 10071-2024")</f>
        <v/>
      </c>
      <c r="Y28">
        <f>HYPERLINK("https://klasma.github.io/Logging_2514/kartor_geotiff/A 10071-2024 georefererad karta.tif", "A 10071-2024")</f>
        <v/>
      </c>
      <c r="AA28">
        <f>HYPERLINK("https://klasma.github.io/Logging_2514/klagomål/A 10071-2024 FSC-klagomål.docx", "A 10071-2024")</f>
        <v/>
      </c>
      <c r="AB28">
        <f>HYPERLINK("https://klasma.github.io/Logging_2514/klagomålsmail/A 10071-2024 FSC-klagomål mail.docx", "A 10071-2024")</f>
        <v/>
      </c>
      <c r="AC28">
        <f>HYPERLINK("https://klasma.github.io/Logging_2514/tillsyn/A 10071-2024 tillsynsbegäran.docx", "A 10071-2024")</f>
        <v/>
      </c>
      <c r="AD28">
        <f>HYPERLINK("https://klasma.github.io/Logging_2514/tillsynsmail/A 10071-2024 tillsynsbegäran mail.docx", "A 10071-2024")</f>
        <v/>
      </c>
    </row>
    <row r="29" ht="15" customHeight="1">
      <c r="A29" t="inlineStr">
        <is>
          <t>A 51497-2025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45950</v>
      </c>
      <c r="E29" s="1" t="n">
        <v>46326</v>
      </c>
      <c r="F29" t="inlineStr">
        <is>
          <t>NORRBOTTENS LÄN</t>
        </is>
      </c>
      <c r="G29" t="inlineStr">
        <is>
          <t>KALIX</t>
        </is>
      </c>
      <c r="I29" t="n">
        <v>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Lunglav</t>
        </is>
      </c>
      <c r="W29">
        <f>HYPERLINK("https://klasma.github.io/Logging_2514/artfynd/A 51497-2025 artfynd.xlsx", "A 51497-2025")</f>
        <v/>
      </c>
      <c r="X29">
        <f>HYPERLINK("https://klasma.github.io/Logging_2514/kartor/A 51497-2025 karta.png", "A 51497-2025")</f>
        <v/>
      </c>
      <c r="Y29">
        <f>HYPERLINK("https://klasma.github.io/Logging_2514/kartor_geotiff/A 51497-2025 georefererad karta.tif", "A 51497-2025")</f>
        <v/>
      </c>
      <c r="AA29">
        <f>HYPERLINK("https://klasma.github.io/Logging_2514/klagomål/A 51497-2025 FSC-klagomål.docx", "A 51497-2025")</f>
        <v/>
      </c>
      <c r="AB29">
        <f>HYPERLINK("https://klasma.github.io/Logging_2514/klagomålsmail/A 51497-2025 FSC-klagomål mail.docx", "A 51497-2025")</f>
        <v/>
      </c>
      <c r="AC29">
        <f>HYPERLINK("https://klasma.github.io/Logging_2514/tillsyn/A 51497-2025 tillsynsbegäran.docx", "A 51497-2025")</f>
        <v/>
      </c>
      <c r="AD29">
        <f>HYPERLINK("https://klasma.github.io/Logging_2514/tillsynsmail/A 51497-2025 tillsynsbegäran mail.docx", "A 51497-2025")</f>
        <v/>
      </c>
    </row>
    <row r="30" ht="15" customHeight="1">
      <c r="A30" t="inlineStr">
        <is>
          <t>A 20584-2026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46140</v>
      </c>
      <c r="E30" s="1" t="n">
        <v>46326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8.6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Stuplav</t>
        </is>
      </c>
      <c r="W30">
        <f>HYPERLINK("https://klasma.github.io/Logging_2514/artfynd/A 20584-2026 artfynd.xlsx", "A 20584-2026")</f>
        <v/>
      </c>
      <c r="X30">
        <f>HYPERLINK("https://klasma.github.io/Logging_2514/kartor/A 20584-2026 karta.png", "A 20584-2026")</f>
        <v/>
      </c>
      <c r="Y30">
        <f>HYPERLINK("https://klasma.github.io/Logging_2514/kartor_geotiff/A 20584-2026 georefererad karta.tif", "A 20584-2026")</f>
        <v/>
      </c>
      <c r="AA30">
        <f>HYPERLINK("https://klasma.github.io/Logging_2514/klagomål/A 20584-2026 FSC-klagomål.docx", "A 20584-2026")</f>
        <v/>
      </c>
      <c r="AB30">
        <f>HYPERLINK("https://klasma.github.io/Logging_2514/klagomålsmail/A 20584-2026 FSC-klagomål mail.docx", "A 20584-2026")</f>
        <v/>
      </c>
      <c r="AC30">
        <f>HYPERLINK("https://klasma.github.io/Logging_2514/tillsyn/A 20584-2026 tillsynsbegäran.docx", "A 20584-2026")</f>
        <v/>
      </c>
      <c r="AD30">
        <f>HYPERLINK("https://klasma.github.io/Logging_2514/tillsynsmail/A 20584-2026 tillsynsbegäran mail.docx", "A 20584-2026")</f>
        <v/>
      </c>
    </row>
    <row r="31" ht="15" customHeight="1">
      <c r="A31" t="inlineStr">
        <is>
          <t>A 24466-2026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46326</v>
      </c>
      <c r="F31" t="inlineStr">
        <is>
          <t>NORRBOTTENS LÄN</t>
        </is>
      </c>
      <c r="G31" t="inlineStr">
        <is>
          <t>KALIX</t>
        </is>
      </c>
      <c r="I31" t="n">
        <v>6.3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Spillkråka</t>
        </is>
      </c>
      <c r="W31">
        <f>HYPERLINK("https://klasma.github.io/Logging_2514/artfynd/A 24466-2026 artfynd.xlsx", "A 24466-2026")</f>
        <v/>
      </c>
      <c r="X31">
        <f>HYPERLINK("https://klasma.github.io/Logging_2514/kartor/A 24466-2026 karta.png", "A 24466-2026")</f>
        <v/>
      </c>
      <c r="Y31">
        <f>HYPERLINK("https://klasma.github.io/Logging_2514/kartor_geotiff/A 24466-2026 georefererad karta.tif", "A 24466-2026")</f>
        <v/>
      </c>
      <c r="AA31">
        <f>HYPERLINK("https://klasma.github.io/Logging_2514/klagomål/A 24466-2026 FSC-klagomål.docx", "A 24466-2026")</f>
        <v/>
      </c>
      <c r="AB31">
        <f>HYPERLINK("https://klasma.github.io/Logging_2514/klagomålsmail/A 24466-2026 FSC-klagomål mail.docx", "A 24466-2026")</f>
        <v/>
      </c>
      <c r="AC31">
        <f>HYPERLINK("https://klasma.github.io/Logging_2514/tillsyn/A 24466-2026 tillsynsbegäran.docx", "A 24466-2026")</f>
        <v/>
      </c>
      <c r="AD31">
        <f>HYPERLINK("https://klasma.github.io/Logging_2514/tillsynsmail/A 24466-2026 tillsynsbegäran mail.docx", "A 24466-2026")</f>
        <v/>
      </c>
      <c r="AE31">
        <f>HYPERLINK("https://klasma.github.io/Logging_2514/fåglar/A 24466-2026 prioriterade fågelarter.docx", "A 24466-2026")</f>
        <v/>
      </c>
    </row>
    <row r="32" ht="15" customHeight="1">
      <c r="A32" t="inlineStr">
        <is>
          <t>A 21552-2023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46326</v>
      </c>
      <c r="F32" t="inlineStr">
        <is>
          <t>NORRBOTTENS LÄN</t>
        </is>
      </c>
      <c r="G32" t="inlineStr">
        <is>
          <t>KALIX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HYPERLINK("https://klasma.github.io/Logging_2514/artfynd/A 21552-2023 artfynd.xlsx", "A 21552-2023")</f>
        <v/>
      </c>
      <c r="X32">
        <f>HYPERLINK("https://klasma.github.io/Logging_2514/kartor/A 21552-2023 karta.png", "A 21552-2023")</f>
        <v/>
      </c>
      <c r="Y32">
        <f>HYPERLINK("https://klasma.github.io/Logging_2514/kartor_geotiff/A 21552-2023 georefererad karta.tif", "A 21552-2023")</f>
        <v/>
      </c>
      <c r="AA32">
        <f>HYPERLINK("https://klasma.github.io/Logging_2514/klagomål/A 21552-2023 FSC-klagomål.docx", "A 21552-2023")</f>
        <v/>
      </c>
      <c r="AB32">
        <f>HYPERLINK("https://klasma.github.io/Logging_2514/klagomålsmail/A 21552-2023 FSC-klagomål mail.docx", "A 21552-2023")</f>
        <v/>
      </c>
      <c r="AC32">
        <f>HYPERLINK("https://klasma.github.io/Logging_2514/tillsyn/A 21552-2023 tillsynsbegäran.docx", "A 21552-2023")</f>
        <v/>
      </c>
      <c r="AD32">
        <f>HYPERLINK("https://klasma.github.io/Logging_2514/tillsynsmail/A 21552-2023 tillsynsbegäran mail.docx", "A 21552-2023")</f>
        <v/>
      </c>
    </row>
    <row r="33" ht="15" customHeight="1">
      <c r="A33" t="inlineStr">
        <is>
          <t>A 26975-2026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46326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HYPERLINK("https://klasma.github.io/Logging_2514/artfynd/A 26975-2026 artfynd.xlsx", "A 26975-2026")</f>
        <v/>
      </c>
      <c r="X33">
        <f>HYPERLINK("https://klasma.github.io/Logging_2514/kartor/A 26975-2026 karta.png", "A 26975-2026")</f>
        <v/>
      </c>
      <c r="Y33">
        <f>HYPERLINK("https://klasma.github.io/Logging_2514/kartor_geotiff/A 26975-2026 georefererad karta.tif", "A 26975-2026")</f>
        <v/>
      </c>
      <c r="AA33">
        <f>HYPERLINK("https://klasma.github.io/Logging_2514/klagomål/A 26975-2026 FSC-klagomål.docx", "A 26975-2026")</f>
        <v/>
      </c>
      <c r="AB33">
        <f>HYPERLINK("https://klasma.github.io/Logging_2514/klagomålsmail/A 26975-2026 FSC-klagomål mail.docx", "A 26975-2026")</f>
        <v/>
      </c>
      <c r="AC33">
        <f>HYPERLINK("https://klasma.github.io/Logging_2514/tillsyn/A 26975-2026 tillsynsbegäran.docx", "A 26975-2026")</f>
        <v/>
      </c>
      <c r="AD33">
        <f>HYPERLINK("https://klasma.github.io/Logging_2514/tillsynsmail/A 26975-2026 tillsynsbegäran mail.docx", "A 26975-2026")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46326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46326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46326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A 33912-2026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46326</v>
      </c>
      <c r="F37" t="inlineStr">
        <is>
          <t>NORRBOTTENS LÄN</t>
        </is>
      </c>
      <c r="G37" t="inlineStr">
        <is>
          <t>KALIX</t>
        </is>
      </c>
      <c r="I37" t="n">
        <v>22.9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Svarta vinbär</t>
        </is>
      </c>
      <c r="W37">
        <f>HYPERLINK("https://klasma.github.io/Logging_2514/artfynd/A 33912-2026 artfynd.xlsx", "A 33912-2026")</f>
        <v/>
      </c>
      <c r="X37">
        <f>HYPERLINK("https://klasma.github.io/Logging_2514/kartor/A 33912-2026 karta.png", "A 33912-2026")</f>
        <v/>
      </c>
      <c r="Y37">
        <f>HYPERLINK("https://klasma.github.io/Logging_2514/kartor_geotiff/A 33912-2026 georefererad karta.tif", "A 33912-2026")</f>
        <v/>
      </c>
      <c r="AA37">
        <f>HYPERLINK("https://klasma.github.io/Logging_2514/klagomål/A 33912-2026 FSC-klagomål.docx", "A 33912-2026")</f>
        <v/>
      </c>
      <c r="AB37">
        <f>HYPERLINK("https://klasma.github.io/Logging_2514/klagomålsmail/A 33912-2026 FSC-klagomål mail.docx", "A 33912-2026")</f>
        <v/>
      </c>
      <c r="AC37">
        <f>HYPERLINK("https://klasma.github.io/Logging_2514/tillsyn/A 33912-2026 tillsynsbegäran.docx", "A 33912-2026")</f>
        <v/>
      </c>
      <c r="AD37">
        <f>HYPERLINK("https://klasma.github.io/Logging_2514/tillsynsmail/A 33912-2026 tillsynsbegäran mail.docx", "A 33912-2026")</f>
        <v/>
      </c>
    </row>
    <row r="38" ht="15" customHeight="1">
      <c r="A38" t="inlineStr">
        <is>
          <t>A 42957-2026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46310</v>
      </c>
      <c r="E38" s="1" t="n">
        <v>46326</v>
      </c>
      <c r="F38" t="inlineStr">
        <is>
          <t>NORRBOTTENS LÄN</t>
        </is>
      </c>
      <c r="G38" t="inlineStr">
        <is>
          <t>KALIX</t>
        </is>
      </c>
      <c r="I38" t="n">
        <v>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HYPERLINK("https://klasma.github.io/Logging_2514/artfynd/A 42957-2026 artfynd.xlsx", "A 42957-2026")</f>
        <v/>
      </c>
      <c r="X38">
        <f>HYPERLINK("https://klasma.github.io/Logging_2514/kartor/A 42957-2026 karta.png", "A 42957-2026")</f>
        <v/>
      </c>
      <c r="Y38">
        <f>HYPERLINK("https://klasma.github.io/Logging_2514/kartor_geotiff/A 42957-2026 georefererad karta.tif", "A 42957-2026")</f>
        <v/>
      </c>
      <c r="AA38">
        <f>HYPERLINK("https://klasma.github.io/Logging_2514/klagomål/A 42957-2026 FSC-klagomål.docx", "A 42957-2026")</f>
        <v/>
      </c>
      <c r="AB38">
        <f>HYPERLINK("https://klasma.github.io/Logging_2514/klagomålsmail/A 42957-2026 FSC-klagomål mail.docx", "A 42957-2026")</f>
        <v/>
      </c>
      <c r="AC38">
        <f>HYPERLINK("https://klasma.github.io/Logging_2514/tillsyn/A 42957-2026 tillsynsbegäran.docx", "A 42957-2026")</f>
        <v/>
      </c>
      <c r="AD38">
        <f>HYPERLINK("https://klasma.github.io/Logging_2514/tillsynsmail/A 42957-2026 tillsynsbegäran mail.docx", "A 42957-2026")</f>
        <v/>
      </c>
    </row>
    <row r="39" ht="15" customHeight="1">
      <c r="A39" t="inlineStr">
        <is>
          <t>S 293-2023</t>
        </is>
      </c>
      <c r="B39" t="inlineStr">
        <is>
          <t>samrådsanmälan</t>
        </is>
      </c>
      <c r="C39" t="inlineStr">
        <is>
          <t>Skogsgödsling</t>
        </is>
      </c>
      <c r="D39" s="1" t="n">
        <v>44956</v>
      </c>
      <c r="E39" s="1" t="n">
        <v>46326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290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HYPERLINK("https://klasma.github.io/Logging_2514/artfynd/S 293-2023 artfynd.xlsx", "S 293-2023")</f>
        <v/>
      </c>
      <c r="X39">
        <f>HYPERLINK("https://klasma.github.io/Logging_2514/kartor/S 293-2023 karta.png", "S 293-2023")</f>
        <v/>
      </c>
      <c r="Y39">
        <f>HYPERLINK("https://klasma.github.io/Logging_2514/kartor_geotiff/S 293-2023 georefererad karta.tif", "S 293-2023")</f>
        <v/>
      </c>
      <c r="AA39">
        <f>HYPERLINK("https://klasma.github.io/Logging_2514/klagomål/S 293-2023 FSC-klagomål.docx", "S 293-2023")</f>
        <v/>
      </c>
      <c r="AB39">
        <f>HYPERLINK("https://klasma.github.io/Logging_2514/klagomålsmail/S 293-2023 FSC-klagomål mail.docx", "S 293-2023")</f>
        <v/>
      </c>
      <c r="AC39">
        <f>HYPERLINK("https://klasma.github.io/Logging_2514/tillsyn/S 293-2023 tillsynsbegäran.docx", "S 293-2023")</f>
        <v/>
      </c>
      <c r="AD39">
        <f>HYPERLINK("https://klasma.github.io/Logging_2514/tillsynsmail/S 293-2023 tillsynsbegäran mail.docx", "S 293-2023")</f>
        <v/>
      </c>
      <c r="AE39">
        <f>HYPERLINK("https://klasma.github.io/Logging_2514/fåglar/S 293-2023 prioriterade fågelarter.docx", "S 293-2023")</f>
        <v/>
      </c>
    </row>
    <row r="40" ht="15" customHeight="1">
      <c r="A40" t="inlineStr">
        <is>
          <t>S 1017-2025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45747</v>
      </c>
      <c r="E40" s="1" t="n">
        <v>46326</v>
      </c>
      <c r="F40" t="inlineStr">
        <is>
          <t>NORRBOTTENS LÄN</t>
        </is>
      </c>
      <c r="G40" t="inlineStr">
        <is>
          <t>KALIX</t>
        </is>
      </c>
      <c r="I40" t="n">
        <v>15.7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Liljekonvalj</t>
        </is>
      </c>
      <c r="W40">
        <f>HYPERLINK("https://klasma.github.io/Logging_2514/artfynd/S 1017-2025 artfynd.xlsx", "S 1017-2025")</f>
        <v/>
      </c>
      <c r="X40">
        <f>HYPERLINK("https://klasma.github.io/Logging_2514/kartor/S 1017-2025 karta.png", "S 1017-2025")</f>
        <v/>
      </c>
      <c r="Y40">
        <f>HYPERLINK("https://klasma.github.io/Logging_2514/kartor_geotiff/S 1017-2025 georefererad karta.tif", "S 1017-2025")</f>
        <v/>
      </c>
      <c r="AA40">
        <f>HYPERLINK("https://klasma.github.io/Logging_2514/klagomål/S 1017-2025 FSC-klagomål.docx", "S 1017-2025")</f>
        <v/>
      </c>
      <c r="AB40">
        <f>HYPERLINK("https://klasma.github.io/Logging_2514/klagomålsmail/S 1017-2025 FSC-klagomål mail.docx", "S 1017-2025")</f>
        <v/>
      </c>
      <c r="AC40">
        <f>HYPERLINK("https://klasma.github.io/Logging_2514/tillsyn/S 1017-2025 tillsynsbegäran.docx", "S 1017-2025")</f>
        <v/>
      </c>
      <c r="AD40">
        <f>HYPERLINK("https://klasma.github.io/Logging_2514/tillsynsmail/S 1017-2025 tillsynsbegäran mail.docx", "S 1017-2025")</f>
        <v/>
      </c>
    </row>
    <row r="41" ht="15" customHeight="1">
      <c r="A41" t="inlineStr">
        <is>
          <t>A 49193-2022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44860</v>
      </c>
      <c r="E41" s="1" t="n">
        <v>46326</v>
      </c>
      <c r="F41" t="inlineStr">
        <is>
          <t>NORRBOTTENS LÄN</t>
        </is>
      </c>
      <c r="G41" t="inlineStr">
        <is>
          <t>KALIX</t>
        </is>
      </c>
      <c r="H41" t="inlineStr">
        <is>
          <t>SCA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46326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46326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46326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46326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46326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46326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46326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46326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46326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46326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46326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46326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46326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46326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46326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46326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46326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46326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46326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46326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46326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46326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46326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13537-2022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44648</v>
      </c>
      <c r="E65" s="1" t="n">
        <v>46326</v>
      </c>
      <c r="F65" t="inlineStr">
        <is>
          <t>NORRBOTTENS LÄN</t>
        </is>
      </c>
      <c r="G65" t="inlineStr">
        <is>
          <t>KALIX</t>
        </is>
      </c>
      <c r="H65" t="inlineStr">
        <is>
          <t>BillerudKorsnäs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46326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45585</v>
      </c>
      <c r="E67" s="1" t="n">
        <v>46326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46326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46326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46326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46326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46326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46326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46326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45712</v>
      </c>
      <c r="E75" s="1" t="n">
        <v>46326</v>
      </c>
      <c r="F75" t="inlineStr">
        <is>
          <t>NORRBOTTENS LÄN</t>
        </is>
      </c>
      <c r="G75" t="inlineStr">
        <is>
          <t>KALIX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46326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46326</v>
      </c>
      <c r="F77" t="inlineStr">
        <is>
          <t>NORRBOTTENS LÄN</t>
        </is>
      </c>
      <c r="G77" t="inlineStr">
        <is>
          <t>KALIX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45147</v>
      </c>
      <c r="E78" s="1" t="n">
        <v>46326</v>
      </c>
      <c r="F78" t="inlineStr">
        <is>
          <t>NORRBOTTENS LÄN</t>
        </is>
      </c>
      <c r="G78" t="inlineStr">
        <is>
          <t>KALIX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46326</v>
      </c>
      <c r="F79" t="inlineStr">
        <is>
          <t>NORRBOTTENS LÄN</t>
        </is>
      </c>
      <c r="G79" t="inlineStr">
        <is>
          <t>KALIX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46326</v>
      </c>
      <c r="F80" t="inlineStr">
        <is>
          <t>NORRBOTTENS LÄN</t>
        </is>
      </c>
      <c r="G80" t="inlineStr">
        <is>
          <t>KALIX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46326</v>
      </c>
      <c r="F81" t="inlineStr">
        <is>
          <t>NORRBOTTENS LÄN</t>
        </is>
      </c>
      <c r="G81" t="inlineStr">
        <is>
          <t>KALIX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46326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46326</v>
      </c>
      <c r="F83" t="inlineStr">
        <is>
          <t>NORRBOTTENS LÄN</t>
        </is>
      </c>
      <c r="G83" t="inlineStr">
        <is>
          <t>KALIX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45586</v>
      </c>
      <c r="E84" s="1" t="n">
        <v>46326</v>
      </c>
      <c r="F84" t="inlineStr">
        <is>
          <t>NORRBOTTENS LÄN</t>
        </is>
      </c>
      <c r="G84" t="inlineStr">
        <is>
          <t>KALIX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46326</v>
      </c>
      <c r="F85" t="inlineStr">
        <is>
          <t>NORRBOTTENS LÄN</t>
        </is>
      </c>
      <c r="G85" t="inlineStr">
        <is>
          <t>KALIX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46326</v>
      </c>
      <c r="F86" t="inlineStr">
        <is>
          <t>NORRBOTTENS LÄN</t>
        </is>
      </c>
      <c r="G86" t="inlineStr">
        <is>
          <t>KALIX</t>
        </is>
      </c>
      <c r="I86" t="n">
        <v>16.9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45541</v>
      </c>
      <c r="E87" s="1" t="n">
        <v>46326</v>
      </c>
      <c r="F87" t="inlineStr">
        <is>
          <t>NORRBOTTENS LÄN</t>
        </is>
      </c>
      <c r="G87" t="inlineStr">
        <is>
          <t>KALIX</t>
        </is>
      </c>
      <c r="I87" t="n">
        <v>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46326</v>
      </c>
      <c r="F88" t="inlineStr">
        <is>
          <t>NORRBOTTENS LÄN</t>
        </is>
      </c>
      <c r="G88" t="inlineStr">
        <is>
          <t>KALIX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16216-2024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45406</v>
      </c>
      <c r="E89" s="1" t="n">
        <v>46326</v>
      </c>
      <c r="F89" t="inlineStr">
        <is>
          <t>NORRBOTTENS LÄN</t>
        </is>
      </c>
      <c r="G89" t="inlineStr">
        <is>
          <t>KALIX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46326</v>
      </c>
      <c r="F90" t="inlineStr">
        <is>
          <t>NORRBOTTENS LÄN</t>
        </is>
      </c>
      <c r="G90" t="inlineStr">
        <is>
          <t>KALIX</t>
        </is>
      </c>
      <c r="I90" t="n">
        <v>12.3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46326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46326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45170</v>
      </c>
      <c r="E93" s="1" t="n">
        <v>46326</v>
      </c>
      <c r="F93" t="inlineStr">
        <is>
          <t>NORRBOTTENS LÄN</t>
        </is>
      </c>
      <c r="G93" t="inlineStr">
        <is>
          <t>KALIX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45225</v>
      </c>
      <c r="E94" s="1" t="n">
        <v>46326</v>
      </c>
      <c r="F94" t="inlineStr">
        <is>
          <t>NORRBOTTENS LÄN</t>
        </is>
      </c>
      <c r="G94" t="inlineStr">
        <is>
          <t>KALIX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46326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46326</v>
      </c>
      <c r="F96" t="inlineStr">
        <is>
          <t>NORRBOTTENS LÄN</t>
        </is>
      </c>
      <c r="G96" t="inlineStr">
        <is>
          <t>KALIX</t>
        </is>
      </c>
      <c r="H96" t="inlineStr">
        <is>
          <t>SCA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46326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46326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45190</v>
      </c>
      <c r="E99" s="1" t="n">
        <v>46326</v>
      </c>
      <c r="F99" t="inlineStr">
        <is>
          <t>NORRBOTTENS LÄN</t>
        </is>
      </c>
      <c r="G99" t="inlineStr">
        <is>
          <t>KALIX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46326</v>
      </c>
      <c r="F100" t="inlineStr">
        <is>
          <t>NORRBOTTENS LÄN</t>
        </is>
      </c>
      <c r="G100" t="inlineStr">
        <is>
          <t>KALIX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46326</v>
      </c>
      <c r="F101" t="inlineStr">
        <is>
          <t>NORRBOTTENS LÄN</t>
        </is>
      </c>
      <c r="G101" t="inlineStr">
        <is>
          <t>KALIX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46326</v>
      </c>
      <c r="F102" t="inlineStr">
        <is>
          <t>NORRBOTTENS LÄN</t>
        </is>
      </c>
      <c r="G102" t="inlineStr">
        <is>
          <t>KALIX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46326</v>
      </c>
      <c r="F103" t="inlineStr">
        <is>
          <t>NORRBOTTENS LÄN</t>
        </is>
      </c>
      <c r="G103" t="inlineStr">
        <is>
          <t>KALIX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46029</v>
      </c>
      <c r="E104" s="1" t="n">
        <v>46326</v>
      </c>
      <c r="F104" t="inlineStr">
        <is>
          <t>NORRBOTTENS LÄN</t>
        </is>
      </c>
      <c r="G104" t="inlineStr">
        <is>
          <t>KALIX</t>
        </is>
      </c>
      <c r="I104" t="n">
        <v>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46029</v>
      </c>
      <c r="E105" s="1" t="n">
        <v>46326</v>
      </c>
      <c r="F105" t="inlineStr">
        <is>
          <t>NORRBOTTENS LÄN</t>
        </is>
      </c>
      <c r="G105" t="inlineStr">
        <is>
          <t>KALIX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54296-2024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45617</v>
      </c>
      <c r="E106" s="1" t="n">
        <v>46326</v>
      </c>
      <c r="F106" t="inlineStr">
        <is>
          <t>NORRBOTTENS LÄN</t>
        </is>
      </c>
      <c r="G106" t="inlineStr">
        <is>
          <t>KALIX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46326</v>
      </c>
      <c r="F107" t="inlineStr">
        <is>
          <t>NORRBOTTENS LÄN</t>
        </is>
      </c>
      <c r="G107" t="inlineStr">
        <is>
          <t>KALIX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46326</v>
      </c>
      <c r="F108" t="inlineStr">
        <is>
          <t>NORRBOTTENS LÄN</t>
        </is>
      </c>
      <c r="G108" t="inlineStr">
        <is>
          <t>KALIX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27198-2025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46326</v>
      </c>
      <c r="F109" t="inlineStr">
        <is>
          <t>NORRBOTTENS LÄN</t>
        </is>
      </c>
      <c r="G109" t="inlineStr">
        <is>
          <t>KALIX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45816</v>
      </c>
      <c r="E110" s="1" t="n">
        <v>46326</v>
      </c>
      <c r="F110" t="inlineStr">
        <is>
          <t>NORRBOTTENS LÄN</t>
        </is>
      </c>
      <c r="G110" t="inlineStr">
        <is>
          <t>KALIX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45816</v>
      </c>
      <c r="E111" s="1" t="n">
        <v>46326</v>
      </c>
      <c r="F111" t="inlineStr">
        <is>
          <t>NORRBOTTENS LÄN</t>
        </is>
      </c>
      <c r="G111" t="inlineStr">
        <is>
          <t>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46326</v>
      </c>
      <c r="F112" t="inlineStr">
        <is>
          <t>NORRBOTTENS LÄN</t>
        </is>
      </c>
      <c r="G112" t="inlineStr">
        <is>
          <t>KALIX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46326</v>
      </c>
      <c r="F113" t="inlineStr">
        <is>
          <t>NORRBOTTENS LÄN</t>
        </is>
      </c>
      <c r="G113" t="inlineStr">
        <is>
          <t>KALIX</t>
        </is>
      </c>
      <c r="I113" t="n">
        <v>18.4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45815</v>
      </c>
      <c r="E114" s="1" t="n">
        <v>46326</v>
      </c>
      <c r="F114" t="inlineStr">
        <is>
          <t>NORRBOTTENS LÄN</t>
        </is>
      </c>
      <c r="G114" t="inlineStr">
        <is>
          <t>KALIX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45815</v>
      </c>
      <c r="E115" s="1" t="n">
        <v>46326</v>
      </c>
      <c r="F115" t="inlineStr">
        <is>
          <t>NORRBOTTENS LÄN</t>
        </is>
      </c>
      <c r="G115" t="inlineStr">
        <is>
          <t>KALIX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46326</v>
      </c>
      <c r="F116" t="inlineStr">
        <is>
          <t>NORRBOTTENS LÄN</t>
        </is>
      </c>
      <c r="G116" t="inlineStr">
        <is>
          <t>KALIX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46326</v>
      </c>
      <c r="F117" t="inlineStr">
        <is>
          <t>NORRBOTTENS LÄN</t>
        </is>
      </c>
      <c r="G117" t="inlineStr">
        <is>
          <t>KALIX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46326</v>
      </c>
      <c r="F118" t="inlineStr">
        <is>
          <t>NORRBOTTENS LÄN</t>
        </is>
      </c>
      <c r="G118" t="inlineStr">
        <is>
          <t>KALIX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46326</v>
      </c>
      <c r="F119" t="inlineStr">
        <is>
          <t>NORRBOTTENS LÄN</t>
        </is>
      </c>
      <c r="G119" t="inlineStr">
        <is>
          <t>KALIX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46326</v>
      </c>
      <c r="F120" t="inlineStr">
        <is>
          <t>NORRBOTTENS LÄN</t>
        </is>
      </c>
      <c r="G120" t="inlineStr">
        <is>
          <t>KALIX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46326</v>
      </c>
      <c r="F121" t="inlineStr">
        <is>
          <t>NORRBOTTENS LÄN</t>
        </is>
      </c>
      <c r="G121" t="inlineStr">
        <is>
          <t>KALIX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46326</v>
      </c>
      <c r="F122" t="inlineStr">
        <is>
          <t>NORRBOTTENS LÄN</t>
        </is>
      </c>
      <c r="G122" t="inlineStr">
        <is>
          <t>KALIX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46326</v>
      </c>
      <c r="F123" t="inlineStr">
        <is>
          <t>NORRBOTTENS LÄN</t>
        </is>
      </c>
      <c r="G123" t="inlineStr">
        <is>
          <t>KALIX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46326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46326</v>
      </c>
      <c r="F125" t="inlineStr">
        <is>
          <t>NORRBOTTENS LÄN</t>
        </is>
      </c>
      <c r="G125" t="inlineStr">
        <is>
          <t>KALIX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46326</v>
      </c>
      <c r="F126" t="inlineStr">
        <is>
          <t>NORRBOTTENS LÄN</t>
        </is>
      </c>
      <c r="G126" t="inlineStr">
        <is>
          <t>KALIX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46326</v>
      </c>
      <c r="F127" t="inlineStr">
        <is>
          <t>NORRBOTTENS LÄN</t>
        </is>
      </c>
      <c r="G127" t="inlineStr">
        <is>
          <t>KALIX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46326</v>
      </c>
      <c r="F128" t="inlineStr">
        <is>
          <t>NORRBOTTENS LÄN</t>
        </is>
      </c>
      <c r="G128" t="inlineStr">
        <is>
          <t>KALIX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45815</v>
      </c>
      <c r="E129" s="1" t="n">
        <v>46326</v>
      </c>
      <c r="F129" t="inlineStr">
        <is>
          <t>NORRBOTTENS LÄN</t>
        </is>
      </c>
      <c r="G129" t="inlineStr">
        <is>
          <t>KALIX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46326</v>
      </c>
      <c r="F130" t="inlineStr">
        <is>
          <t>NORRBOTTENS LÄN</t>
        </is>
      </c>
      <c r="G130" t="inlineStr">
        <is>
          <t>KALIX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46326</v>
      </c>
      <c r="F131" t="inlineStr">
        <is>
          <t>NORRBOTTENS LÄN</t>
        </is>
      </c>
      <c r="G131" t="inlineStr">
        <is>
          <t>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46326</v>
      </c>
      <c r="F132" t="inlineStr">
        <is>
          <t>NORRBOTTENS LÄN</t>
        </is>
      </c>
      <c r="G132" t="inlineStr">
        <is>
          <t>KALIX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45667</v>
      </c>
      <c r="E133" s="1" t="n">
        <v>46326</v>
      </c>
      <c r="F133" t="inlineStr">
        <is>
          <t>NORRBOTTENS LÄN</t>
        </is>
      </c>
      <c r="G133" t="inlineStr">
        <is>
          <t>KALIX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45201</v>
      </c>
      <c r="E134" s="1" t="n">
        <v>46326</v>
      </c>
      <c r="F134" t="inlineStr">
        <is>
          <t>NORRBOTTENS LÄN</t>
        </is>
      </c>
      <c r="G134" t="inlineStr">
        <is>
          <t>KALIX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46326</v>
      </c>
      <c r="F135" t="inlineStr">
        <is>
          <t>NORRBOTTENS LÄN</t>
        </is>
      </c>
      <c r="G135" t="inlineStr">
        <is>
          <t>KALIX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46326</v>
      </c>
      <c r="F136" t="inlineStr">
        <is>
          <t>NORRBOTTENS LÄN</t>
        </is>
      </c>
      <c r="G136" t="inlineStr">
        <is>
          <t>KALIX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46326</v>
      </c>
      <c r="F137" t="inlineStr">
        <is>
          <t>NORRBOTTENS LÄN</t>
        </is>
      </c>
      <c r="G137" t="inlineStr">
        <is>
          <t>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46326</v>
      </c>
      <c r="F138" t="inlineStr">
        <is>
          <t>NORRBOTTENS LÄN</t>
        </is>
      </c>
      <c r="G138" t="inlineStr">
        <is>
          <t>KALIX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33582-2025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46326</v>
      </c>
      <c r="F139" t="inlineStr">
        <is>
          <t>NORRBOTTENS LÄN</t>
        </is>
      </c>
      <c r="G139" t="inlineStr">
        <is>
          <t>KALIX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46326</v>
      </c>
      <c r="F140" t="inlineStr">
        <is>
          <t>NORRBOTTENS LÄN</t>
        </is>
      </c>
      <c r="G140" t="inlineStr">
        <is>
          <t>KALIX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46326</v>
      </c>
      <c r="F141" t="inlineStr">
        <is>
          <t>NORRBOTTENS LÄN</t>
        </is>
      </c>
      <c r="G141" t="inlineStr">
        <is>
          <t>KALIX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46326</v>
      </c>
      <c r="F142" t="inlineStr">
        <is>
          <t>NORRBOTTENS LÄN</t>
        </is>
      </c>
      <c r="G142" t="inlineStr">
        <is>
          <t>KALIX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46326</v>
      </c>
      <c r="F143" t="inlineStr">
        <is>
          <t>NORRBOTTENS LÄN</t>
        </is>
      </c>
      <c r="G143" t="inlineStr">
        <is>
          <t>KALIX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46326</v>
      </c>
      <c r="F144" t="inlineStr">
        <is>
          <t>NORRBOTTENS LÄN</t>
        </is>
      </c>
      <c r="G144" t="inlineStr">
        <is>
          <t>KALIX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46326</v>
      </c>
      <c r="F145" t="inlineStr">
        <is>
          <t>NORRBOTTENS LÄN</t>
        </is>
      </c>
      <c r="G145" t="inlineStr">
        <is>
          <t>KALIX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46326</v>
      </c>
      <c r="F146" t="inlineStr">
        <is>
          <t>NORRBOTTENS LÄN</t>
        </is>
      </c>
      <c r="G146" t="inlineStr">
        <is>
          <t>KALIX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45259</v>
      </c>
      <c r="E147" s="1" t="n">
        <v>46326</v>
      </c>
      <c r="F147" t="inlineStr">
        <is>
          <t>NORRBOTTENS LÄN</t>
        </is>
      </c>
      <c r="G147" t="inlineStr">
        <is>
          <t>KALIX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46326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46326</v>
      </c>
      <c r="F149" t="inlineStr">
        <is>
          <t>NORRBOTTENS LÄN</t>
        </is>
      </c>
      <c r="G149" t="inlineStr">
        <is>
          <t>KALIX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46326</v>
      </c>
      <c r="F150" t="inlineStr">
        <is>
          <t>NORRBOTTENS LÄN</t>
        </is>
      </c>
      <c r="G150" t="inlineStr">
        <is>
          <t>KALIX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46035</v>
      </c>
      <c r="E151" s="1" t="n">
        <v>46326</v>
      </c>
      <c r="F151" t="inlineStr">
        <is>
          <t>NORRBOTTENS LÄN</t>
        </is>
      </c>
      <c r="G151" t="inlineStr">
        <is>
          <t>KALIX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45892</v>
      </c>
      <c r="E152" s="1" t="n">
        <v>46326</v>
      </c>
      <c r="F152" t="inlineStr">
        <is>
          <t>NORRBOTTENS LÄN</t>
        </is>
      </c>
      <c r="G152" t="inlineStr">
        <is>
          <t>KALIX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45892</v>
      </c>
      <c r="E153" s="1" t="n">
        <v>46326</v>
      </c>
      <c r="F153" t="inlineStr">
        <is>
          <t>NORRBOTTENS LÄN</t>
        </is>
      </c>
      <c r="G153" t="inlineStr">
        <is>
          <t>KALIX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46326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46326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46326</v>
      </c>
      <c r="F156" t="inlineStr">
        <is>
          <t>NORRBOTTENS LÄN</t>
        </is>
      </c>
      <c r="G156" t="inlineStr">
        <is>
          <t>KALIX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46326</v>
      </c>
      <c r="F157" t="inlineStr">
        <is>
          <t>NORRBOTTENS LÄN</t>
        </is>
      </c>
      <c r="G157" t="inlineStr">
        <is>
          <t>KALIX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46326</v>
      </c>
      <c r="F158" t="inlineStr">
        <is>
          <t>NORRBOTTENS LÄN</t>
        </is>
      </c>
      <c r="G158" t="inlineStr">
        <is>
          <t>KALIX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46326</v>
      </c>
      <c r="F159" t="inlineStr">
        <is>
          <t>NORRBOTTENS LÄN</t>
        </is>
      </c>
      <c r="G159" t="inlineStr">
        <is>
          <t>KALIX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45415</v>
      </c>
      <c r="E160" s="1" t="n">
        <v>46326</v>
      </c>
      <c r="F160" t="inlineStr">
        <is>
          <t>NORRBOTTENS LÄN</t>
        </is>
      </c>
      <c r="G160" t="inlineStr">
        <is>
          <t>KALIX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46326</v>
      </c>
      <c r="F161" t="inlineStr">
        <is>
          <t>NORRBOTTENS LÄN</t>
        </is>
      </c>
      <c r="G161" t="inlineStr">
        <is>
          <t>KALIX</t>
        </is>
      </c>
      <c r="I161" t="n">
        <v>10.6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46326</v>
      </c>
      <c r="F162" t="inlineStr">
        <is>
          <t>NORRBOTTENS LÄN</t>
        </is>
      </c>
      <c r="G162" t="inlineStr">
        <is>
          <t>KALIX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45904</v>
      </c>
      <c r="E163" s="1" t="n">
        <v>46326</v>
      </c>
      <c r="F163" t="inlineStr">
        <is>
          <t>NORRBOTTENS LÄN</t>
        </is>
      </c>
      <c r="G163" t="inlineStr">
        <is>
          <t>KALIX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46326</v>
      </c>
      <c r="F164" t="inlineStr">
        <is>
          <t>NORRBOTTENS LÄN</t>
        </is>
      </c>
      <c r="G164" t="inlineStr">
        <is>
          <t>KALIX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46326</v>
      </c>
      <c r="F165" t="inlineStr">
        <is>
          <t>NORRBOTTENS LÄN</t>
        </is>
      </c>
      <c r="G165" t="inlineStr">
        <is>
          <t>KALIX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46326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45906</v>
      </c>
      <c r="E167" s="1" t="n">
        <v>46326</v>
      </c>
      <c r="F167" t="inlineStr">
        <is>
          <t>NORRBOTTENS LÄN</t>
        </is>
      </c>
      <c r="G167" t="inlineStr">
        <is>
          <t>KALIX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46326</v>
      </c>
      <c r="F168" t="inlineStr">
        <is>
          <t>NORRBOTTENS LÄN</t>
        </is>
      </c>
      <c r="G168" t="inlineStr">
        <is>
          <t>KALIX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46326</v>
      </c>
      <c r="F169" t="inlineStr">
        <is>
          <t>NORRBOTTENS LÄN</t>
        </is>
      </c>
      <c r="G169" t="inlineStr">
        <is>
          <t>KALIX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46326</v>
      </c>
      <c r="F170" t="inlineStr">
        <is>
          <t>NORRBOTTENS LÄN</t>
        </is>
      </c>
      <c r="G170" t="inlineStr">
        <is>
          <t>KALIX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42974-2025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46326</v>
      </c>
      <c r="F171" t="inlineStr">
        <is>
          <t>NORRBOTTENS LÄN</t>
        </is>
      </c>
      <c r="G171" t="inlineStr">
        <is>
          <t>KALIX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45708</v>
      </c>
      <c r="E172" s="1" t="n">
        <v>46326</v>
      </c>
      <c r="F172" t="inlineStr">
        <is>
          <t>NORRBOTTENS LÄN</t>
        </is>
      </c>
      <c r="G172" t="inlineStr">
        <is>
          <t>KALIX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46326</v>
      </c>
      <c r="F173" t="inlineStr">
        <is>
          <t>NORRBOTTENS LÄN</t>
        </is>
      </c>
      <c r="G173" t="inlineStr">
        <is>
          <t>KALIX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46326</v>
      </c>
      <c r="F174" t="inlineStr">
        <is>
          <t>NORRBOTTENS LÄN</t>
        </is>
      </c>
      <c r="G174" t="inlineStr">
        <is>
          <t>KALIX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46326</v>
      </c>
      <c r="F175" t="inlineStr">
        <is>
          <t>NORRBOTTENS LÄN</t>
        </is>
      </c>
      <c r="G175" t="inlineStr">
        <is>
          <t>KALIX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46326</v>
      </c>
      <c r="F176" t="inlineStr">
        <is>
          <t>NORRBOTTENS LÄN</t>
        </is>
      </c>
      <c r="G176" t="inlineStr">
        <is>
          <t>KALIX</t>
        </is>
      </c>
      <c r="I176" t="n">
        <v>9.199999999999999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43671-2025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46326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46326</v>
      </c>
      <c r="F178" t="inlineStr">
        <is>
          <t>NORRBOTTENS LÄN</t>
        </is>
      </c>
      <c r="G178" t="inlineStr">
        <is>
          <t>KALIX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46326</v>
      </c>
      <c r="F179" t="inlineStr">
        <is>
          <t>NORRBOTTENS LÄN</t>
        </is>
      </c>
      <c r="G179" t="inlineStr">
        <is>
          <t>KALIX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46326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44350-2025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45916</v>
      </c>
      <c r="E181" s="1" t="n">
        <v>46326</v>
      </c>
      <c r="F181" t="inlineStr">
        <is>
          <t>NORRBOTTENS LÄN</t>
        </is>
      </c>
      <c r="G181" t="inlineStr">
        <is>
          <t>KALIX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46326</v>
      </c>
      <c r="F182" t="inlineStr">
        <is>
          <t>NORRBOTTENS LÄN</t>
        </is>
      </c>
      <c r="G182" t="inlineStr">
        <is>
          <t>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44776</v>
      </c>
      <c r="E183" s="1" t="n">
        <v>46326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46326</v>
      </c>
      <c r="F184" t="inlineStr">
        <is>
          <t>NORRBOTTENS LÄN</t>
        </is>
      </c>
      <c r="G184" t="inlineStr">
        <is>
          <t>KALIX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46326</v>
      </c>
      <c r="F185" t="inlineStr">
        <is>
          <t>NORRBOTTENS LÄN</t>
        </is>
      </c>
      <c r="G185" t="inlineStr">
        <is>
          <t>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45259</v>
      </c>
      <c r="E186" s="1" t="n">
        <v>46326</v>
      </c>
      <c r="F186" t="inlineStr">
        <is>
          <t>NORRBOTTENS LÄN</t>
        </is>
      </c>
      <c r="G186" t="inlineStr">
        <is>
          <t>KALIX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46326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46326</v>
      </c>
      <c r="F188" t="inlineStr">
        <is>
          <t>NORRBOTTENS LÄN</t>
        </is>
      </c>
      <c r="G188" t="inlineStr">
        <is>
          <t>KALIX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46326</v>
      </c>
      <c r="F189" t="inlineStr">
        <is>
          <t>NORRBOTTENS LÄN</t>
        </is>
      </c>
      <c r="G189" t="inlineStr">
        <is>
          <t>KALIX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25019-2024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45461</v>
      </c>
      <c r="E190" s="1" t="n">
        <v>46326</v>
      </c>
      <c r="F190" t="inlineStr">
        <is>
          <t>NORRBOTTENS LÄN</t>
        </is>
      </c>
      <c r="G190" t="inlineStr">
        <is>
          <t>KALIX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46326</v>
      </c>
      <c r="F191" t="inlineStr">
        <is>
          <t>NORRBOTTENS LÄN</t>
        </is>
      </c>
      <c r="G191" t="inlineStr">
        <is>
          <t>KALIX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46326</v>
      </c>
      <c r="F192" t="inlineStr">
        <is>
          <t>NORRBOTTENS LÄN</t>
        </is>
      </c>
      <c r="G192" t="inlineStr">
        <is>
          <t>KALIX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45321</v>
      </c>
      <c r="E193" s="1" t="n">
        <v>46326</v>
      </c>
      <c r="F193" t="inlineStr">
        <is>
          <t>NORRBOTTENS LÄN</t>
        </is>
      </c>
      <c r="G193" t="inlineStr">
        <is>
          <t>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45851</v>
      </c>
      <c r="E194" s="1" t="n">
        <v>46326</v>
      </c>
      <c r="F194" t="inlineStr">
        <is>
          <t>NORRBOTTENS LÄN</t>
        </is>
      </c>
      <c r="G194" t="inlineStr">
        <is>
          <t>KALIX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46326</v>
      </c>
      <c r="F195" t="inlineStr">
        <is>
          <t>NORRBOTTENS LÄN</t>
        </is>
      </c>
      <c r="G195" t="inlineStr">
        <is>
          <t>KALIX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46326</v>
      </c>
      <c r="F196" t="inlineStr">
        <is>
          <t>NORRBOTTENS LÄN</t>
        </is>
      </c>
      <c r="G196" t="inlineStr">
        <is>
          <t>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68438-2021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46326</v>
      </c>
      <c r="F197" t="inlineStr">
        <is>
          <t>NORRBOTTENS LÄN</t>
        </is>
      </c>
      <c r="G197" t="inlineStr">
        <is>
          <t>KALIX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46326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45866</v>
      </c>
      <c r="E199" s="1" t="n">
        <v>46326</v>
      </c>
      <c r="F199" t="inlineStr">
        <is>
          <t>NORRBOTTENS LÄN</t>
        </is>
      </c>
      <c r="G199" t="inlineStr">
        <is>
          <t>KALIX</t>
        </is>
      </c>
      <c r="H199" t="inlineStr">
        <is>
          <t>Sveaskog</t>
        </is>
      </c>
      <c r="I199" t="n">
        <v>14.8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45063</v>
      </c>
      <c r="E200" s="1" t="n">
        <v>46326</v>
      </c>
      <c r="F200" t="inlineStr">
        <is>
          <t>NORRBOTTENS LÄN</t>
        </is>
      </c>
      <c r="G200" t="inlineStr">
        <is>
          <t>KALIX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46326</v>
      </c>
      <c r="F201" t="inlineStr">
        <is>
          <t>NORRBOTTENS LÄN</t>
        </is>
      </c>
      <c r="G201" t="inlineStr">
        <is>
          <t>KALIX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46326</v>
      </c>
      <c r="F202" t="inlineStr">
        <is>
          <t>NORRBOTTENS LÄN</t>
        </is>
      </c>
      <c r="G202" t="inlineStr">
        <is>
          <t>KALIX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46326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46326</v>
      </c>
      <c r="F204" t="inlineStr">
        <is>
          <t>NORRBOTTENS LÄN</t>
        </is>
      </c>
      <c r="G204" t="inlineStr">
        <is>
          <t>KALIX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46326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45079</v>
      </c>
      <c r="E206" s="1" t="n">
        <v>46326</v>
      </c>
      <c r="F206" t="inlineStr">
        <is>
          <t>NORRBOTTENS LÄN</t>
        </is>
      </c>
      <c r="G206" t="inlineStr">
        <is>
          <t>KALIX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46326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47983-2025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45932</v>
      </c>
      <c r="E208" s="1" t="n">
        <v>46326</v>
      </c>
      <c r="F208" t="inlineStr">
        <is>
          <t>NORRBOTTENS LÄN</t>
        </is>
      </c>
      <c r="G208" t="inlineStr">
        <is>
          <t>KALIX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46326</v>
      </c>
      <c r="F209" t="inlineStr">
        <is>
          <t>NORRBOTTENS LÄN</t>
        </is>
      </c>
      <c r="G209" t="inlineStr">
        <is>
          <t>KALIX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48383-2025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46326</v>
      </c>
      <c r="F210" t="inlineStr">
        <is>
          <t>NORRBOTTENS LÄN</t>
        </is>
      </c>
      <c r="G210" t="inlineStr">
        <is>
          <t>KALIX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45355</v>
      </c>
      <c r="E211" s="1" t="n">
        <v>46326</v>
      </c>
      <c r="F211" t="inlineStr">
        <is>
          <t>NORRBOTTENS LÄN</t>
        </is>
      </c>
      <c r="G211" t="inlineStr">
        <is>
          <t>KALIX</t>
        </is>
      </c>
      <c r="I211" t="n">
        <v>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46326</v>
      </c>
      <c r="F212" t="inlineStr">
        <is>
          <t>NORRBOTTENS LÄN</t>
        </is>
      </c>
      <c r="G212" t="inlineStr">
        <is>
          <t>KALIX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46326</v>
      </c>
      <c r="F213" t="inlineStr">
        <is>
          <t>NORRBOTTENS LÄN</t>
        </is>
      </c>
      <c r="G213" t="inlineStr">
        <is>
          <t>KALIX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46326</v>
      </c>
      <c r="F214" t="inlineStr">
        <is>
          <t>NORRBOTTENS LÄN</t>
        </is>
      </c>
      <c r="G214" t="inlineStr">
        <is>
          <t>KALIX</t>
        </is>
      </c>
      <c r="I214" t="n">
        <v>10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46326</v>
      </c>
      <c r="F215" t="inlineStr">
        <is>
          <t>NORRBOTTENS LÄN</t>
        </is>
      </c>
      <c r="G215" t="inlineStr">
        <is>
          <t>KALIX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46326</v>
      </c>
      <c r="F216" t="inlineStr">
        <is>
          <t>NORRBOTTENS LÄN</t>
        </is>
      </c>
      <c r="G216" t="inlineStr">
        <is>
          <t>KALIX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46326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45939</v>
      </c>
      <c r="E218" s="1" t="n">
        <v>46326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46326</v>
      </c>
      <c r="F219" t="inlineStr">
        <is>
          <t>NORRBOTTENS LÄN</t>
        </is>
      </c>
      <c r="G219" t="inlineStr">
        <is>
          <t>KALIX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46326</v>
      </c>
      <c r="F220" t="inlineStr">
        <is>
          <t>NORRBOTTENS LÄN</t>
        </is>
      </c>
      <c r="G220" t="inlineStr">
        <is>
          <t>KALIX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46326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46326</v>
      </c>
      <c r="F222" t="inlineStr">
        <is>
          <t>NORRBOTTENS LÄN</t>
        </is>
      </c>
      <c r="G222" t="inlineStr">
        <is>
          <t>KALIX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46326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46326</v>
      </c>
      <c r="F224" t="inlineStr">
        <is>
          <t>NORRBOTTENS LÄN</t>
        </is>
      </c>
      <c r="G224" t="inlineStr">
        <is>
          <t>KALIX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46326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46326</v>
      </c>
      <c r="F226" t="inlineStr">
        <is>
          <t>NORRBOTTENS LÄN</t>
        </is>
      </c>
      <c r="G226" t="inlineStr">
        <is>
          <t>KALIX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46326</v>
      </c>
      <c r="F227" t="inlineStr">
        <is>
          <t>NORRBOTTENS LÄN</t>
        </is>
      </c>
      <c r="G227" t="inlineStr">
        <is>
          <t>KALIX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46326</v>
      </c>
      <c r="F228" t="inlineStr">
        <is>
          <t>NORRBOTTENS LÄN</t>
        </is>
      </c>
      <c r="G228" t="inlineStr">
        <is>
          <t>KALIX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46326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46326</v>
      </c>
      <c r="F230" t="inlineStr">
        <is>
          <t>NORRBOTTENS LÄN</t>
        </is>
      </c>
      <c r="G230" t="inlineStr">
        <is>
          <t>KALIX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46326</v>
      </c>
      <c r="F231" t="inlineStr">
        <is>
          <t>NORRBOTTENS LÄN</t>
        </is>
      </c>
      <c r="G231" t="inlineStr">
        <is>
          <t>KALIX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45859</v>
      </c>
      <c r="E232" s="1" t="n">
        <v>46326</v>
      </c>
      <c r="F232" t="inlineStr">
        <is>
          <t>NORRBOTTENS LÄN</t>
        </is>
      </c>
      <c r="G232" t="inlineStr">
        <is>
          <t>KALIX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46326</v>
      </c>
      <c r="F233" t="inlineStr">
        <is>
          <t>NORRBOTTENS LÄN</t>
        </is>
      </c>
      <c r="G233" t="inlineStr">
        <is>
          <t>KALIX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46326</v>
      </c>
      <c r="F234" t="inlineStr">
        <is>
          <t>NORRBOTTENS LÄN</t>
        </is>
      </c>
      <c r="G234" t="inlineStr">
        <is>
          <t>KALIX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46326</v>
      </c>
      <c r="F235" t="inlineStr">
        <is>
          <t>NORRBOTTENS LÄN</t>
        </is>
      </c>
      <c r="G235" t="inlineStr">
        <is>
          <t>KALIX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46326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46326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46326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46326</v>
      </c>
      <c r="F239" t="inlineStr">
        <is>
          <t>NORRBOTTENS LÄN</t>
        </is>
      </c>
      <c r="G239" t="inlineStr">
        <is>
          <t>KALIX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46326</v>
      </c>
      <c r="F240" t="inlineStr">
        <is>
          <t>NORRBOTTENS LÄN</t>
        </is>
      </c>
      <c r="G240" t="inlineStr">
        <is>
          <t>KALIX</t>
        </is>
      </c>
      <c r="H240" t="inlineStr">
        <is>
          <t>SCA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46326</v>
      </c>
      <c r="F241" t="inlineStr">
        <is>
          <t>NORRBOTTENS LÄN</t>
        </is>
      </c>
      <c r="G241" t="inlineStr">
        <is>
          <t>KALIX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46326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46326</v>
      </c>
      <c r="F243" t="inlineStr">
        <is>
          <t>NORRBOTTENS LÄN</t>
        </is>
      </c>
      <c r="G243" t="inlineStr">
        <is>
          <t>KALIX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46326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46326</v>
      </c>
      <c r="F245" t="inlineStr">
        <is>
          <t>NORRBOTTENS LÄN</t>
        </is>
      </c>
      <c r="G245" t="inlineStr">
        <is>
          <t>KALIX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46326</v>
      </c>
      <c r="F246" t="inlineStr">
        <is>
          <t>NORRBOTTENS LÄN</t>
        </is>
      </c>
      <c r="G246" t="inlineStr">
        <is>
          <t>KALIX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46326</v>
      </c>
      <c r="F247" t="inlineStr">
        <is>
          <t>NORRBOTTENS LÄN</t>
        </is>
      </c>
      <c r="G247" t="inlineStr">
        <is>
          <t>KALIX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46326</v>
      </c>
      <c r="F248" t="inlineStr">
        <is>
          <t>NORRBOTTENS LÄN</t>
        </is>
      </c>
      <c r="G248" t="inlineStr">
        <is>
          <t>KALIX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46326</v>
      </c>
      <c r="F249" t="inlineStr">
        <is>
          <t>NORRBOTTENS LÄN</t>
        </is>
      </c>
      <c r="G249" t="inlineStr">
        <is>
          <t>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46326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46326</v>
      </c>
      <c r="F251" t="inlineStr">
        <is>
          <t>NORRBOTTENS LÄN</t>
        </is>
      </c>
      <c r="G251" t="inlineStr">
        <is>
          <t>KALIX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46326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46326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8.300000000000001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46326</v>
      </c>
      <c r="F254" t="inlineStr">
        <is>
          <t>NORRBOTTENS LÄN</t>
        </is>
      </c>
      <c r="G254" t="inlineStr">
        <is>
          <t>KALIX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46073</v>
      </c>
      <c r="E255" s="1" t="n">
        <v>46326</v>
      </c>
      <c r="F255" t="inlineStr">
        <is>
          <t>NORRBOTTENS LÄN</t>
        </is>
      </c>
      <c r="G255" t="inlineStr">
        <is>
          <t>KALIX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46326</v>
      </c>
      <c r="F256" t="inlineStr">
        <is>
          <t>NORRBOTTENS LÄN</t>
        </is>
      </c>
      <c r="G256" t="inlineStr">
        <is>
          <t>KALIX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46326</v>
      </c>
      <c r="F257" t="inlineStr">
        <is>
          <t>NORRBOTTENS LÄN</t>
        </is>
      </c>
      <c r="G257" t="inlineStr">
        <is>
          <t>KALIX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46326</v>
      </c>
      <c r="F258" t="inlineStr">
        <is>
          <t>NORRBOTTENS LÄN</t>
        </is>
      </c>
      <c r="G258" t="inlineStr">
        <is>
          <t>KALIX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46326</v>
      </c>
      <c r="F259" t="inlineStr">
        <is>
          <t>NORRBOTTENS LÄN</t>
        </is>
      </c>
      <c r="G259" t="inlineStr">
        <is>
          <t>KALIX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55415-2025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46326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9450-2023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44981</v>
      </c>
      <c r="E261" s="1" t="n">
        <v>46326</v>
      </c>
      <c r="F261" t="inlineStr">
        <is>
          <t>NORRBOTTENS LÄN</t>
        </is>
      </c>
      <c r="G261" t="inlineStr">
        <is>
          <t>KALIX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46326</v>
      </c>
      <c r="F262" t="inlineStr">
        <is>
          <t>NORRBOTTENS LÄN</t>
        </is>
      </c>
      <c r="G262" t="inlineStr">
        <is>
          <t>KALIX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46326</v>
      </c>
      <c r="F263" t="inlineStr">
        <is>
          <t>NORRBOTTENS LÄN</t>
        </is>
      </c>
      <c r="G263" t="inlineStr">
        <is>
          <t>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46326</v>
      </c>
      <c r="F264" t="inlineStr">
        <is>
          <t>NORRBOTTENS LÄN</t>
        </is>
      </c>
      <c r="G264" t="inlineStr">
        <is>
          <t>KALIX</t>
        </is>
      </c>
      <c r="I264" t="n">
        <v>13.9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10547-2026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46077</v>
      </c>
      <c r="E265" s="1" t="n">
        <v>46326</v>
      </c>
      <c r="F265" t="inlineStr">
        <is>
          <t>NORRBOTTENS LÄN</t>
        </is>
      </c>
      <c r="G265" t="inlineStr">
        <is>
          <t>KALIX</t>
        </is>
      </c>
      <c r="I265" t="n">
        <v>16.5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46326</v>
      </c>
      <c r="F266" t="inlineStr">
        <is>
          <t>NORRBOTTENS LÄN</t>
        </is>
      </c>
      <c r="G266" t="inlineStr">
        <is>
          <t>KALIX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62135-2023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45266</v>
      </c>
      <c r="E267" s="1" t="n">
        <v>46326</v>
      </c>
      <c r="F267" t="inlineStr">
        <is>
          <t>NORRBOTTENS LÄN</t>
        </is>
      </c>
      <c r="G267" t="inlineStr">
        <is>
          <t>KALIX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46326</v>
      </c>
      <c r="F268" t="inlineStr">
        <is>
          <t>NORRBOTTENS LÄN</t>
        </is>
      </c>
      <c r="G268" t="inlineStr">
        <is>
          <t>KALIX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46326</v>
      </c>
      <c r="F269" t="inlineStr">
        <is>
          <t>NORRBOTTENS LÄN</t>
        </is>
      </c>
      <c r="G269" t="inlineStr">
        <is>
          <t>KALIX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46326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45816</v>
      </c>
      <c r="E271" s="1" t="n">
        <v>46326</v>
      </c>
      <c r="F271" t="inlineStr">
        <is>
          <t>NORRBOTTENS LÄN</t>
        </is>
      </c>
      <c r="G271" t="inlineStr">
        <is>
          <t>KALIX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46326</v>
      </c>
      <c r="F272" t="inlineStr">
        <is>
          <t>NORRBOTTENS LÄN</t>
        </is>
      </c>
      <c r="G272" t="inlineStr">
        <is>
          <t>KALIX</t>
        </is>
      </c>
      <c r="I272" t="n">
        <v>23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46326</v>
      </c>
      <c r="F273" t="inlineStr">
        <is>
          <t>NORRBOTTENS LÄN</t>
        </is>
      </c>
      <c r="G273" t="inlineStr">
        <is>
          <t>KALIX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46326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46326</v>
      </c>
      <c r="F275" t="inlineStr">
        <is>
          <t>NORRBOTTENS LÄN</t>
        </is>
      </c>
      <c r="G275" t="inlineStr">
        <is>
          <t>KALIX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46326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46326</v>
      </c>
      <c r="F277" t="inlineStr">
        <is>
          <t>NORRBOTTENS LÄN</t>
        </is>
      </c>
      <c r="G277" t="inlineStr">
        <is>
          <t>KALIX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46326</v>
      </c>
      <c r="F278" t="inlineStr">
        <is>
          <t>NORRBOTTENS LÄN</t>
        </is>
      </c>
      <c r="G278" t="inlineStr">
        <is>
          <t>KALIX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45406</v>
      </c>
      <c r="E279" s="1" t="n">
        <v>46326</v>
      </c>
      <c r="F279" t="inlineStr">
        <is>
          <t>NORRBOTTENS LÄN</t>
        </is>
      </c>
      <c r="G279" t="inlineStr">
        <is>
          <t>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46085</v>
      </c>
      <c r="E280" s="1" t="n">
        <v>46326</v>
      </c>
      <c r="F280" t="inlineStr">
        <is>
          <t>NORRBOTTENS LÄN</t>
        </is>
      </c>
      <c r="G280" t="inlineStr">
        <is>
          <t>KALIX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46326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45385</v>
      </c>
      <c r="E282" s="1" t="n">
        <v>46326</v>
      </c>
      <c r="F282" t="inlineStr">
        <is>
          <t>NORRBOTTENS LÄN</t>
        </is>
      </c>
      <c r="G282" t="inlineStr">
        <is>
          <t>KALIX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46326</v>
      </c>
      <c r="F283" t="inlineStr">
        <is>
          <t>NORRBOTTENS LÄN</t>
        </is>
      </c>
      <c r="G283" t="inlineStr">
        <is>
          <t>KALIX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46326</v>
      </c>
      <c r="F284" t="inlineStr">
        <is>
          <t>NORRBOTTENS LÄN</t>
        </is>
      </c>
      <c r="G284" t="inlineStr">
        <is>
          <t>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46326</v>
      </c>
      <c r="F285" t="inlineStr">
        <is>
          <t>NORRBOTTENS LÄN</t>
        </is>
      </c>
      <c r="G285" t="inlineStr">
        <is>
          <t>KALIX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57513-2023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45243</v>
      </c>
      <c r="E286" s="1" t="n">
        <v>46326</v>
      </c>
      <c r="F286" t="inlineStr">
        <is>
          <t>NORRBOTTENS LÄN</t>
        </is>
      </c>
      <c r="G286" t="inlineStr">
        <is>
          <t>KALIX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45993</v>
      </c>
      <c r="E287" s="1" t="n">
        <v>46326</v>
      </c>
      <c r="F287" t="inlineStr">
        <is>
          <t>NORRBOTTENS LÄN</t>
        </is>
      </c>
      <c r="G287" t="inlineStr">
        <is>
          <t>KALIX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45691</v>
      </c>
      <c r="E288" s="1" t="n">
        <v>46326</v>
      </c>
      <c r="F288" t="inlineStr">
        <is>
          <t>NORRBOTTENS LÄN</t>
        </is>
      </c>
      <c r="G288" t="inlineStr">
        <is>
          <t>KALIX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46326</v>
      </c>
      <c r="F289" t="inlineStr">
        <is>
          <t>NORRBOTTENS LÄN</t>
        </is>
      </c>
      <c r="G289" t="inlineStr">
        <is>
          <t>KALIX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46326</v>
      </c>
      <c r="F290" t="inlineStr">
        <is>
          <t>NORRBOTTENS LÄN</t>
        </is>
      </c>
      <c r="G290" t="inlineStr">
        <is>
          <t>KALIX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46326</v>
      </c>
      <c r="F291" t="inlineStr">
        <is>
          <t>NORRBOTTENS LÄN</t>
        </is>
      </c>
      <c r="G291" t="inlineStr">
        <is>
          <t>KALIX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46326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46326</v>
      </c>
      <c r="F293" t="inlineStr">
        <is>
          <t>NORRBOTTENS LÄN</t>
        </is>
      </c>
      <c r="G293" t="inlineStr">
        <is>
          <t>KALIX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46091</v>
      </c>
      <c r="E294" s="1" t="n">
        <v>46326</v>
      </c>
      <c r="F294" t="inlineStr">
        <is>
          <t>NORRBOTTENS LÄN</t>
        </is>
      </c>
      <c r="G294" t="inlineStr">
        <is>
          <t>KALIX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46326</v>
      </c>
      <c r="F295" t="inlineStr">
        <is>
          <t>NORRBOTTENS LÄN</t>
        </is>
      </c>
      <c r="G295" t="inlineStr">
        <is>
          <t>KALIX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46091</v>
      </c>
      <c r="E296" s="1" t="n">
        <v>46326</v>
      </c>
      <c r="F296" t="inlineStr">
        <is>
          <t>NORRBOTTENS LÄN</t>
        </is>
      </c>
      <c r="G296" t="inlineStr">
        <is>
          <t>KALIX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46326</v>
      </c>
      <c r="F297" t="inlineStr">
        <is>
          <t>NORRBOTTENS LÄN</t>
        </is>
      </c>
      <c r="G297" t="inlineStr">
        <is>
          <t>KALIX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46093</v>
      </c>
      <c r="E298" s="1" t="n">
        <v>46326</v>
      </c>
      <c r="F298" t="inlineStr">
        <is>
          <t>NORRBOTTENS LÄN</t>
        </is>
      </c>
      <c r="G298" t="inlineStr">
        <is>
          <t>KALIX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44706</v>
      </c>
      <c r="E299" s="1" t="n">
        <v>46326</v>
      </c>
      <c r="F299" t="inlineStr">
        <is>
          <t>NORRBOTTENS LÄN</t>
        </is>
      </c>
      <c r="G299" t="inlineStr">
        <is>
          <t>KALIX</t>
        </is>
      </c>
      <c r="H299" t="inlineStr">
        <is>
          <t>Sveaskog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46326</v>
      </c>
      <c r="F300" t="inlineStr">
        <is>
          <t>NORRBOTTENS LÄN</t>
        </is>
      </c>
      <c r="G300" t="inlineStr">
        <is>
          <t>KALIX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45037</v>
      </c>
      <c r="E301" s="1" t="n">
        <v>46326</v>
      </c>
      <c r="F301" t="inlineStr">
        <is>
          <t>NORRBOTTENS LÄN</t>
        </is>
      </c>
      <c r="G301" t="inlineStr">
        <is>
          <t>KALIX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45740</v>
      </c>
      <c r="E302" s="1" t="n">
        <v>46326</v>
      </c>
      <c r="F302" t="inlineStr">
        <is>
          <t>NORRBOTTENS LÄN</t>
        </is>
      </c>
      <c r="G302" t="inlineStr">
        <is>
          <t>KALIX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46326</v>
      </c>
      <c r="F303" t="inlineStr">
        <is>
          <t>NORRBOTTENS LÄN</t>
        </is>
      </c>
      <c r="G303" t="inlineStr">
        <is>
          <t>KALIX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46326</v>
      </c>
      <c r="F304" t="inlineStr">
        <is>
          <t>NORRBOTTENS LÄN</t>
        </is>
      </c>
      <c r="G304" t="inlineStr">
        <is>
          <t>KALIX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46326</v>
      </c>
      <c r="F305" t="inlineStr">
        <is>
          <t>NORRBOTTENS LÄN</t>
        </is>
      </c>
      <c r="G305" t="inlineStr">
        <is>
          <t>KALIX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46326</v>
      </c>
      <c r="F306" t="inlineStr">
        <is>
          <t>NORRBOTTENS LÄN</t>
        </is>
      </c>
      <c r="G306" t="inlineStr">
        <is>
          <t>KALIX</t>
        </is>
      </c>
      <c r="I306" t="n">
        <v>13.8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46326</v>
      </c>
      <c r="F307" t="inlineStr">
        <is>
          <t>NORRBOTTENS LÄN</t>
        </is>
      </c>
      <c r="G307" t="inlineStr">
        <is>
          <t>KALIX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46326</v>
      </c>
      <c r="F308" t="inlineStr">
        <is>
          <t>NORRBOTTENS LÄN</t>
        </is>
      </c>
      <c r="G308" t="inlineStr">
        <is>
          <t>KALIX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46326</v>
      </c>
      <c r="F309" t="inlineStr">
        <is>
          <t>NORRBOTTENS LÄN</t>
        </is>
      </c>
      <c r="G309" t="inlineStr">
        <is>
          <t>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46326</v>
      </c>
      <c r="F310" t="inlineStr">
        <is>
          <t>NORRBOTTENS LÄN</t>
        </is>
      </c>
      <c r="G310" t="inlineStr">
        <is>
          <t>KALIX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13619-2026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46097</v>
      </c>
      <c r="E311" s="1" t="n">
        <v>46326</v>
      </c>
      <c r="F311" t="inlineStr">
        <is>
          <t>NORRBOTTENS LÄN</t>
        </is>
      </c>
      <c r="G311" t="inlineStr">
        <is>
          <t>KALIX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45582</v>
      </c>
      <c r="E312" s="1" t="n">
        <v>46326</v>
      </c>
      <c r="F312" t="inlineStr">
        <is>
          <t>NORRBOTTENS LÄN</t>
        </is>
      </c>
      <c r="G312" t="inlineStr">
        <is>
          <t>KALIX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58765-2023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45251</v>
      </c>
      <c r="E313" s="1" t="n">
        <v>46326</v>
      </c>
      <c r="F313" t="inlineStr">
        <is>
          <t>NORRBOTTENS LÄN</t>
        </is>
      </c>
      <c r="G313" t="inlineStr">
        <is>
          <t>KALIX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46326</v>
      </c>
      <c r="F314" t="inlineStr">
        <is>
          <t>NORRBOTTENS LÄN</t>
        </is>
      </c>
      <c r="G314" t="inlineStr">
        <is>
          <t>KALIX</t>
        </is>
      </c>
      <c r="H314" t="inlineStr">
        <is>
          <t>Kommuner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46326</v>
      </c>
      <c r="F315" t="inlineStr">
        <is>
          <t>NORRBOTTENS LÄN</t>
        </is>
      </c>
      <c r="G315" t="inlineStr">
        <is>
          <t>KALIX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46326</v>
      </c>
      <c r="F316" t="inlineStr">
        <is>
          <t>NORRBOTTENS LÄN</t>
        </is>
      </c>
      <c r="G316" t="inlineStr">
        <is>
          <t>KALIX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44950</v>
      </c>
      <c r="E317" s="1" t="n">
        <v>46326</v>
      </c>
      <c r="F317" t="inlineStr">
        <is>
          <t>NORRBOTTENS LÄN</t>
        </is>
      </c>
      <c r="G317" t="inlineStr">
        <is>
          <t>KALIX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46326</v>
      </c>
      <c r="F318" t="inlineStr">
        <is>
          <t>NORRBOTTENS LÄN</t>
        </is>
      </c>
      <c r="G318" t="inlineStr">
        <is>
          <t>KALIX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46326</v>
      </c>
      <c r="F319" t="inlineStr">
        <is>
          <t>NORRBOTTENS LÄN</t>
        </is>
      </c>
      <c r="G319" t="inlineStr">
        <is>
          <t>KALIX</t>
        </is>
      </c>
      <c r="H319" t="inlineStr">
        <is>
          <t>Kommuner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46326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44581</v>
      </c>
      <c r="E321" s="1" t="n">
        <v>46326</v>
      </c>
      <c r="F321" t="inlineStr">
        <is>
          <t>NORRBOTTENS LÄN</t>
        </is>
      </c>
      <c r="G321" t="inlineStr">
        <is>
          <t>KALIX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45754</v>
      </c>
      <c r="E322" s="1" t="n">
        <v>46326</v>
      </c>
      <c r="F322" t="inlineStr">
        <is>
          <t>NORRBOTTENS LÄN</t>
        </is>
      </c>
      <c r="G322" t="inlineStr">
        <is>
          <t>KALIX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60955-2022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44907</v>
      </c>
      <c r="E323" s="1" t="n">
        <v>46326</v>
      </c>
      <c r="F323" t="inlineStr">
        <is>
          <t>NORRBOTTENS LÄN</t>
        </is>
      </c>
      <c r="G323" t="inlineStr">
        <is>
          <t>KALIX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46013</v>
      </c>
      <c r="E324" s="1" t="n">
        <v>46326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44903</v>
      </c>
      <c r="E325" s="1" t="n">
        <v>46326</v>
      </c>
      <c r="F325" t="inlineStr">
        <is>
          <t>NORRBOTTENS LÄN</t>
        </is>
      </c>
      <c r="G325" t="inlineStr">
        <is>
          <t>KALIX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44749-2025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46326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45419</v>
      </c>
      <c r="E327" s="1" t="n">
        <v>46326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46326</v>
      </c>
      <c r="F328" t="inlineStr">
        <is>
          <t>NORRBOTTENS LÄN</t>
        </is>
      </c>
      <c r="G328" t="inlineStr">
        <is>
          <t>KALIX</t>
        </is>
      </c>
      <c r="H328" t="inlineStr">
        <is>
          <t>SCA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46326</v>
      </c>
      <c r="F329" t="inlineStr">
        <is>
          <t>NORRBOTTENS LÄN</t>
        </is>
      </c>
      <c r="G329" t="inlineStr">
        <is>
          <t>KALIX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46326</v>
      </c>
      <c r="F330" t="inlineStr">
        <is>
          <t>NORRBOTTENS LÄN</t>
        </is>
      </c>
      <c r="G330" t="inlineStr">
        <is>
          <t>KALIX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64027-2025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46021</v>
      </c>
      <c r="E331" s="1" t="n">
        <v>46326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46021</v>
      </c>
      <c r="E332" s="1" t="n">
        <v>46326</v>
      </c>
      <c r="F332" t="inlineStr">
        <is>
          <t>NORRBOTTENS LÄN</t>
        </is>
      </c>
      <c r="G332" t="inlineStr">
        <is>
          <t>KALIX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44901</v>
      </c>
      <c r="E333" s="1" t="n">
        <v>46326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46326</v>
      </c>
      <c r="F334" t="inlineStr">
        <is>
          <t>NORRBOTTENS LÄN</t>
        </is>
      </c>
      <c r="G334" t="inlineStr">
        <is>
          <t>KALIX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15594-2026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46326</v>
      </c>
      <c r="F335" t="inlineStr">
        <is>
          <t>NORRBOTTENS LÄN</t>
        </is>
      </c>
      <c r="G335" t="inlineStr">
        <is>
          <t>KALIX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46326</v>
      </c>
      <c r="F336" t="inlineStr">
        <is>
          <t>NORRBOTTENS LÄN</t>
        </is>
      </c>
      <c r="G336" t="inlineStr">
        <is>
          <t>KALIX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45641</v>
      </c>
      <c r="E337" s="1" t="n">
        <v>46326</v>
      </c>
      <c r="F337" t="inlineStr">
        <is>
          <t>NORRBOTTENS LÄN</t>
        </is>
      </c>
      <c r="G337" t="inlineStr">
        <is>
          <t>KALIX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45213</v>
      </c>
      <c r="E338" s="1" t="n">
        <v>46326</v>
      </c>
      <c r="F338" t="inlineStr">
        <is>
          <t>NORRBOTTENS LÄN</t>
        </is>
      </c>
      <c r="G338" t="inlineStr">
        <is>
          <t>KALIX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46326</v>
      </c>
      <c r="F339" t="inlineStr">
        <is>
          <t>NORRBOTTENS LÄN</t>
        </is>
      </c>
      <c r="G339" t="inlineStr">
        <is>
          <t>KALIX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45730</v>
      </c>
      <c r="E340" s="1" t="n">
        <v>46326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45314</v>
      </c>
      <c r="E341" s="1" t="n">
        <v>46326</v>
      </c>
      <c r="F341" t="inlineStr">
        <is>
          <t>NORRBOTTENS LÄN</t>
        </is>
      </c>
      <c r="G341" t="inlineStr">
        <is>
          <t>KALIX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45308</v>
      </c>
      <c r="E342" s="1" t="n">
        <v>46326</v>
      </c>
      <c r="F342" t="inlineStr">
        <is>
          <t>NORRBOTTENS LÄN</t>
        </is>
      </c>
      <c r="G342" t="inlineStr">
        <is>
          <t>KALIX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45492</v>
      </c>
      <c r="E343" s="1" t="n">
        <v>46326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45560</v>
      </c>
      <c r="E344" s="1" t="n">
        <v>46326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45112</v>
      </c>
      <c r="E345" s="1" t="n">
        <v>46326</v>
      </c>
      <c r="F345" t="inlineStr">
        <is>
          <t>NORRBOTTENS LÄN</t>
        </is>
      </c>
      <c r="G345" t="inlineStr">
        <is>
          <t>KALIX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46326</v>
      </c>
      <c r="F346" t="inlineStr">
        <is>
          <t>NORRBOTTENS LÄN</t>
        </is>
      </c>
      <c r="G346" t="inlineStr">
        <is>
          <t>KALIX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46326</v>
      </c>
      <c r="F347" t="inlineStr">
        <is>
          <t>NORRBOTTENS LÄN</t>
        </is>
      </c>
      <c r="G347" t="inlineStr">
        <is>
          <t>KALIX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28946-2022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44749</v>
      </c>
      <c r="E348" s="1" t="n">
        <v>46326</v>
      </c>
      <c r="F348" t="inlineStr">
        <is>
          <t>NORRBOTTENS LÄN</t>
        </is>
      </c>
      <c r="G348" t="inlineStr">
        <is>
          <t>KALIX</t>
        </is>
      </c>
      <c r="H348" t="inlineStr">
        <is>
          <t>Sveaskog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10959-2025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45723</v>
      </c>
      <c r="E349" s="1" t="n">
        <v>46326</v>
      </c>
      <c r="F349" t="inlineStr">
        <is>
          <t>NORRBOTTENS LÄN</t>
        </is>
      </c>
      <c r="G349" t="inlineStr">
        <is>
          <t>KALIX</t>
        </is>
      </c>
      <c r="I349" t="n">
        <v>10.2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46326</v>
      </c>
      <c r="F350" t="inlineStr">
        <is>
          <t>NORRBOTTENS LÄN</t>
        </is>
      </c>
      <c r="G350" t="inlineStr">
        <is>
          <t>KALIX</t>
        </is>
      </c>
      <c r="I350" t="n">
        <v>11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45719</v>
      </c>
      <c r="E351" s="1" t="n">
        <v>46326</v>
      </c>
      <c r="F351" t="inlineStr">
        <is>
          <t>NORRBOTTENS LÄN</t>
        </is>
      </c>
      <c r="G351" t="inlineStr">
        <is>
          <t>KALIX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46326</v>
      </c>
      <c r="F352" t="inlineStr">
        <is>
          <t>NORRBOTTENS LÄN</t>
        </is>
      </c>
      <c r="G352" t="inlineStr">
        <is>
          <t>KALIX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44898</v>
      </c>
      <c r="E353" s="1" t="n">
        <v>46326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46326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19782-2026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46326</v>
      </c>
      <c r="F355" t="inlineStr">
        <is>
          <t>NORRBOTTENS LÄN</t>
        </is>
      </c>
      <c r="G355" t="inlineStr">
        <is>
          <t>KALIX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46326</v>
      </c>
      <c r="F356" t="inlineStr">
        <is>
          <t>NORRBOTTENS LÄN</t>
        </is>
      </c>
      <c r="G356" t="inlineStr">
        <is>
          <t>KALIX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19690-2026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46134</v>
      </c>
      <c r="E357" s="1" t="n">
        <v>46326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46326</v>
      </c>
      <c r="F358" t="inlineStr">
        <is>
          <t>NORRBOTTENS LÄN</t>
        </is>
      </c>
      <c r="G358" t="inlineStr">
        <is>
          <t>KALIX</t>
        </is>
      </c>
      <c r="H358" t="inlineStr">
        <is>
          <t>SCA</t>
        </is>
      </c>
      <c r="I358" t="n">
        <v>17.5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66739-2021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44520</v>
      </c>
      <c r="E359" s="1" t="n">
        <v>46326</v>
      </c>
      <c r="F359" t="inlineStr">
        <is>
          <t>NORRBOTTENS LÄN</t>
        </is>
      </c>
      <c r="G359" t="inlineStr">
        <is>
          <t>KALIX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46326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45602</v>
      </c>
      <c r="E361" s="1" t="n">
        <v>46326</v>
      </c>
      <c r="F361" t="inlineStr">
        <is>
          <t>NORRBOTTENS LÄN</t>
        </is>
      </c>
      <c r="G361" t="inlineStr">
        <is>
          <t>KALIX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22480-2024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45446</v>
      </c>
      <c r="E362" s="1" t="n">
        <v>46326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44964</v>
      </c>
      <c r="E363" s="1" t="n">
        <v>46326</v>
      </c>
      <c r="F363" t="inlineStr">
        <is>
          <t>NORRBOTTENS LÄN</t>
        </is>
      </c>
      <c r="G363" t="inlineStr">
        <is>
          <t>KALIX</t>
        </is>
      </c>
      <c r="H363" t="inlineStr">
        <is>
          <t>SCA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37657-2023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45159</v>
      </c>
      <c r="E364" s="1" t="n">
        <v>46326</v>
      </c>
      <c r="F364" t="inlineStr">
        <is>
          <t>NORRBOTTENS LÄN</t>
        </is>
      </c>
      <c r="G364" t="inlineStr">
        <is>
          <t>KALIX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46326</v>
      </c>
      <c r="F365" t="inlineStr">
        <is>
          <t>NORRBOTTENS LÄN</t>
        </is>
      </c>
      <c r="G365" t="inlineStr">
        <is>
          <t>KALIX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46326</v>
      </c>
      <c r="F366" t="inlineStr">
        <is>
          <t>NORRBOTTENS LÄN</t>
        </is>
      </c>
      <c r="G366" t="inlineStr">
        <is>
          <t>KALIX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58182-2024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46326</v>
      </c>
      <c r="F367" t="inlineStr">
        <is>
          <t>NORRBOTTENS LÄN</t>
        </is>
      </c>
      <c r="G367" t="inlineStr">
        <is>
          <t>KALIX</t>
        </is>
      </c>
      <c r="I367" t="n">
        <v>17.4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45420</v>
      </c>
      <c r="E368" s="1" t="n">
        <v>46326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45678</v>
      </c>
      <c r="E369" s="1" t="n">
        <v>46326</v>
      </c>
      <c r="F369" t="inlineStr">
        <is>
          <t>NORRBOTTENS LÄN</t>
        </is>
      </c>
      <c r="G369" t="inlineStr">
        <is>
          <t>KALIX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46326</v>
      </c>
      <c r="F370" t="inlineStr">
        <is>
          <t>NORRBOTTENS LÄN</t>
        </is>
      </c>
      <c r="G370" t="inlineStr">
        <is>
          <t>KALIX</t>
        </is>
      </c>
      <c r="I370" t="n">
        <v>8.9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45272</v>
      </c>
      <c r="E371" s="1" t="n">
        <v>46326</v>
      </c>
      <c r="F371" t="inlineStr">
        <is>
          <t>NORRBOTTENS LÄN</t>
        </is>
      </c>
      <c r="G371" t="inlineStr">
        <is>
          <t>KALIX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19976-2025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46326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46326</v>
      </c>
      <c r="F373" t="inlineStr">
        <is>
          <t>NORRBOTTENS LÄN</t>
        </is>
      </c>
      <c r="G373" t="inlineStr">
        <is>
          <t>KALIX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9193-2026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46070</v>
      </c>
      <c r="E374" s="1" t="n">
        <v>46326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44956</v>
      </c>
      <c r="E375" s="1" t="n">
        <v>46326</v>
      </c>
      <c r="F375" t="inlineStr">
        <is>
          <t>NORRBOTTENS LÄN</t>
        </is>
      </c>
      <c r="G375" t="inlineStr">
        <is>
          <t>KALIX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59026-2022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44903</v>
      </c>
      <c r="E376" s="1" t="n">
        <v>46326</v>
      </c>
      <c r="F376" t="inlineStr">
        <is>
          <t>NORRBOTTENS LÄN</t>
        </is>
      </c>
      <c r="G376" t="inlineStr">
        <is>
          <t>KALIX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46326</v>
      </c>
      <c r="F377" t="inlineStr">
        <is>
          <t>NORRBOTTENS LÄN</t>
        </is>
      </c>
      <c r="G377" t="inlineStr">
        <is>
          <t>KALIX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45708</v>
      </c>
      <c r="E378" s="1" t="n">
        <v>46326</v>
      </c>
      <c r="F378" t="inlineStr">
        <is>
          <t>NORRBOTTENS LÄN</t>
        </is>
      </c>
      <c r="G378" t="inlineStr">
        <is>
          <t>KALIX</t>
        </is>
      </c>
      <c r="I378" t="n">
        <v>16.2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46326</v>
      </c>
      <c r="F379" t="inlineStr">
        <is>
          <t>NORRBOTTENS LÄN</t>
        </is>
      </c>
      <c r="G379" t="inlineStr">
        <is>
          <t>KALIX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46326</v>
      </c>
      <c r="F380" t="inlineStr">
        <is>
          <t>NORRBOTTENS LÄN</t>
        </is>
      </c>
      <c r="G380" t="inlineStr">
        <is>
          <t>KALIX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46326</v>
      </c>
      <c r="F381" t="inlineStr">
        <is>
          <t>NORRBOTTENS LÄN</t>
        </is>
      </c>
      <c r="G381" t="inlineStr">
        <is>
          <t>KALIX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46326</v>
      </c>
      <c r="F382" t="inlineStr">
        <is>
          <t>NORRBOTTENS LÄN</t>
        </is>
      </c>
      <c r="G382" t="inlineStr">
        <is>
          <t>KALIX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46326</v>
      </c>
      <c r="F383" t="inlineStr">
        <is>
          <t>NORRBOTTENS LÄN</t>
        </is>
      </c>
      <c r="G383" t="inlineStr">
        <is>
          <t>KALIX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46326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46326</v>
      </c>
      <c r="F385" t="inlineStr">
        <is>
          <t>NORRBOTTENS LÄN</t>
        </is>
      </c>
      <c r="G385" t="inlineStr">
        <is>
          <t>KALIX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42009-2024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45561</v>
      </c>
      <c r="E386" s="1" t="n">
        <v>46326</v>
      </c>
      <c r="F386" t="inlineStr">
        <is>
          <t>NORRBOTTENS LÄN</t>
        </is>
      </c>
      <c r="G386" t="inlineStr">
        <is>
          <t>KALIX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44903</v>
      </c>
      <c r="E387" s="1" t="n">
        <v>46326</v>
      </c>
      <c r="F387" t="inlineStr">
        <is>
          <t>NORRBOTTENS LÄN</t>
        </is>
      </c>
      <c r="G387" t="inlineStr">
        <is>
          <t>KALIX</t>
        </is>
      </c>
      <c r="I387" t="n">
        <v>17.8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21574-2023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45063</v>
      </c>
      <c r="E388" s="1" t="n">
        <v>46326</v>
      </c>
      <c r="F388" t="inlineStr">
        <is>
          <t>NORRBOTTENS LÄN</t>
        </is>
      </c>
      <c r="G388" t="inlineStr">
        <is>
          <t>KALIX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46752-2024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45583</v>
      </c>
      <c r="E389" s="1" t="n">
        <v>46326</v>
      </c>
      <c r="F389" t="inlineStr">
        <is>
          <t>NORRBOTTENS LÄN</t>
        </is>
      </c>
      <c r="G389" t="inlineStr">
        <is>
          <t>KALIX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44756</v>
      </c>
      <c r="E390" s="1" t="n">
        <v>46326</v>
      </c>
      <c r="F390" t="inlineStr">
        <is>
          <t>NORRBOTTENS LÄN</t>
        </is>
      </c>
      <c r="G390" t="inlineStr">
        <is>
          <t>KALIX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46326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37924-2025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45881</v>
      </c>
      <c r="E392" s="1" t="n">
        <v>46326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45542</v>
      </c>
      <c r="E393" s="1" t="n">
        <v>46326</v>
      </c>
      <c r="F393" t="inlineStr">
        <is>
          <t>NORRBOTTENS LÄN</t>
        </is>
      </c>
      <c r="G393" t="inlineStr">
        <is>
          <t>KALIX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46142</v>
      </c>
      <c r="E394" s="1" t="n">
        <v>46326</v>
      </c>
      <c r="F394" t="inlineStr">
        <is>
          <t>NORRBOTTENS LÄN</t>
        </is>
      </c>
      <c r="G394" t="inlineStr">
        <is>
          <t>KALIX</t>
        </is>
      </c>
      <c r="H394" t="inlineStr">
        <is>
          <t>Sveaskog</t>
        </is>
      </c>
      <c r="I394" t="n">
        <v>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64939-2023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45282</v>
      </c>
      <c r="E395" s="1" t="n">
        <v>46326</v>
      </c>
      <c r="F395" t="inlineStr">
        <is>
          <t>NORRBOTTENS LÄN</t>
        </is>
      </c>
      <c r="G395" t="inlineStr">
        <is>
          <t>KALIX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45641</v>
      </c>
      <c r="E396" s="1" t="n">
        <v>46326</v>
      </c>
      <c r="F396" t="inlineStr">
        <is>
          <t>NORRBOTTENS LÄN</t>
        </is>
      </c>
      <c r="G396" t="inlineStr">
        <is>
          <t>KALIX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45295</v>
      </c>
      <c r="E397" s="1" t="n">
        <v>46326</v>
      </c>
      <c r="F397" t="inlineStr">
        <is>
          <t>NORRBOTTENS LÄN</t>
        </is>
      </c>
      <c r="G397" t="inlineStr">
        <is>
          <t>KALIX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21169-2026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46146</v>
      </c>
      <c r="E398" s="1" t="n">
        <v>46326</v>
      </c>
      <c r="F398" t="inlineStr">
        <is>
          <t>NORRBOTTENS LÄN</t>
        </is>
      </c>
      <c r="G398" t="inlineStr">
        <is>
          <t>KALIX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46326</v>
      </c>
      <c r="F399" t="inlineStr">
        <is>
          <t>NORRBOTTENS LÄN</t>
        </is>
      </c>
      <c r="G399" t="inlineStr">
        <is>
          <t>KALIX</t>
        </is>
      </c>
      <c r="I399" t="n">
        <v>13.9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46146</v>
      </c>
      <c r="E400" s="1" t="n">
        <v>46326</v>
      </c>
      <c r="F400" t="inlineStr">
        <is>
          <t>NORRBOTTENS LÄN</t>
        </is>
      </c>
      <c r="G400" t="inlineStr">
        <is>
          <t>KALIX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46326</v>
      </c>
      <c r="F401" t="inlineStr">
        <is>
          <t>NORRBOTTENS LÄN</t>
        </is>
      </c>
      <c r="G401" t="inlineStr">
        <is>
          <t>KALIX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46326</v>
      </c>
      <c r="F402" t="inlineStr">
        <is>
          <t>NORRBOTTENS LÄN</t>
        </is>
      </c>
      <c r="G402" t="inlineStr">
        <is>
          <t>KALIX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58656-2025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45986</v>
      </c>
      <c r="E403" s="1" t="n">
        <v>46326</v>
      </c>
      <c r="F403" t="inlineStr">
        <is>
          <t>NORRBOTTENS LÄN</t>
        </is>
      </c>
      <c r="G403" t="inlineStr">
        <is>
          <t>KALIX</t>
        </is>
      </c>
      <c r="H403" t="inlineStr">
        <is>
          <t>Kommuner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46326</v>
      </c>
      <c r="F404" t="inlineStr">
        <is>
          <t>NORRBOTTENS LÄN</t>
        </is>
      </c>
      <c r="G404" t="inlineStr">
        <is>
          <t>KALIX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46326</v>
      </c>
      <c r="F405" t="inlineStr">
        <is>
          <t>NORRBOTTENS LÄN</t>
        </is>
      </c>
      <c r="G405" t="inlineStr">
        <is>
          <t>KALIX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22421-2026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46326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22336-2026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46154</v>
      </c>
      <c r="E407" s="1" t="n">
        <v>46326</v>
      </c>
      <c r="F407" t="inlineStr">
        <is>
          <t>NORRBOTTENS LÄN</t>
        </is>
      </c>
      <c r="G407" t="inlineStr">
        <is>
          <t>KALIX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46326</v>
      </c>
      <c r="F408" t="inlineStr">
        <is>
          <t>NORRBOTTENS LÄN</t>
        </is>
      </c>
      <c r="G408" t="inlineStr">
        <is>
          <t>KALIX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46326</v>
      </c>
      <c r="F409" t="inlineStr">
        <is>
          <t>NORRBOTTENS LÄN</t>
        </is>
      </c>
      <c r="G409" t="inlineStr">
        <is>
          <t>KALIX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46326</v>
      </c>
      <c r="F410" t="inlineStr">
        <is>
          <t>NORRBOTTENS LÄN</t>
        </is>
      </c>
      <c r="G410" t="inlineStr">
        <is>
          <t>KALIX</t>
        </is>
      </c>
      <c r="H410" t="inlineStr">
        <is>
          <t>Kommuner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46154</v>
      </c>
      <c r="E411" s="1" t="n">
        <v>46326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46326</v>
      </c>
      <c r="F412" t="inlineStr">
        <is>
          <t>NORRBOTTENS LÄN</t>
        </is>
      </c>
      <c r="G412" t="inlineStr">
        <is>
          <t>KALIX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46081</v>
      </c>
      <c r="E413" s="1" t="n">
        <v>46326</v>
      </c>
      <c r="F413" t="inlineStr">
        <is>
          <t>NORRBOTTENS LÄN</t>
        </is>
      </c>
      <c r="G413" t="inlineStr">
        <is>
          <t>KALIX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14404-2023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46326</v>
      </c>
      <c r="F414" t="inlineStr">
        <is>
          <t>NORRBOTTENS LÄN</t>
        </is>
      </c>
      <c r="G414" t="inlineStr">
        <is>
          <t>KALIX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45553</v>
      </c>
      <c r="E415" s="1" t="n">
        <v>46326</v>
      </c>
      <c r="F415" t="inlineStr">
        <is>
          <t>NORRBOTTENS LÄN</t>
        </is>
      </c>
      <c r="G415" t="inlineStr">
        <is>
          <t>KALIX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7189-2023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44970</v>
      </c>
      <c r="E416" s="1" t="n">
        <v>46326</v>
      </c>
      <c r="F416" t="inlineStr">
        <is>
          <t>NORRBOTTENS LÄN</t>
        </is>
      </c>
      <c r="G416" t="inlineStr">
        <is>
          <t>KALIX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45660</v>
      </c>
      <c r="E417" s="1" t="n">
        <v>46326</v>
      </c>
      <c r="F417" t="inlineStr">
        <is>
          <t>NORRBOTTENS LÄN</t>
        </is>
      </c>
      <c r="G417" t="inlineStr">
        <is>
          <t>KALIX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46326</v>
      </c>
      <c r="F418" t="inlineStr">
        <is>
          <t>NORRBOTTENS LÄN</t>
        </is>
      </c>
      <c r="G418" t="inlineStr">
        <is>
          <t>KALIX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67004-2021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44522</v>
      </c>
      <c r="E419" s="1" t="n">
        <v>46326</v>
      </c>
      <c r="F419" t="inlineStr">
        <is>
          <t>NORRBOTTENS LÄN</t>
        </is>
      </c>
      <c r="G419" t="inlineStr">
        <is>
          <t>KALIX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46326</v>
      </c>
      <c r="F420" t="inlineStr">
        <is>
          <t>NORRBOTTENS LÄN</t>
        </is>
      </c>
      <c r="G420" t="inlineStr">
        <is>
          <t>KALIX</t>
        </is>
      </c>
      <c r="I420" t="n">
        <v>14.8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46326</v>
      </c>
      <c r="F421" t="inlineStr">
        <is>
          <t>NORRBOTTENS LÄN</t>
        </is>
      </c>
      <c r="G421" t="inlineStr">
        <is>
          <t>KALIX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48063-2023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46326</v>
      </c>
      <c r="F422" t="inlineStr">
        <is>
          <t>NORRBOTTENS LÄN</t>
        </is>
      </c>
      <c r="G422" t="inlineStr">
        <is>
          <t>KALIX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62165-2023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46326</v>
      </c>
      <c r="F423" t="inlineStr">
        <is>
          <t>NORRBOTTENS LÄN</t>
        </is>
      </c>
      <c r="G423" t="inlineStr">
        <is>
          <t>KALIX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46326</v>
      </c>
      <c r="F424" t="inlineStr">
        <is>
          <t>NORRBOTTENS LÄN</t>
        </is>
      </c>
      <c r="G424" t="inlineStr">
        <is>
          <t>KALIX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46326</v>
      </c>
      <c r="F425" t="inlineStr">
        <is>
          <t>NORRBOTTENS LÄN</t>
        </is>
      </c>
      <c r="G425" t="inlineStr">
        <is>
          <t>KALIX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45173</v>
      </c>
      <c r="E426" s="1" t="n">
        <v>46326</v>
      </c>
      <c r="F426" t="inlineStr">
        <is>
          <t>NORRBOTTENS LÄN</t>
        </is>
      </c>
      <c r="G426" t="inlineStr">
        <is>
          <t>KALIX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45679</v>
      </c>
      <c r="E427" s="1" t="n">
        <v>46326</v>
      </c>
      <c r="F427" t="inlineStr">
        <is>
          <t>NORRBOTTENS LÄN</t>
        </is>
      </c>
      <c r="G427" t="inlineStr">
        <is>
          <t>KALIX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46326</v>
      </c>
      <c r="F428" t="inlineStr">
        <is>
          <t>NORRBOTTENS LÄN</t>
        </is>
      </c>
      <c r="G428" t="inlineStr">
        <is>
          <t>KALIX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46326</v>
      </c>
      <c r="F429" t="inlineStr">
        <is>
          <t>NORRBOTTENS LÄN</t>
        </is>
      </c>
      <c r="G429" t="inlineStr">
        <is>
          <t>KALIX</t>
        </is>
      </c>
      <c r="I429" t="n">
        <v>63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46326</v>
      </c>
      <c r="F430" t="inlineStr">
        <is>
          <t>NORRBOTTENS LÄN</t>
        </is>
      </c>
      <c r="G430" t="inlineStr">
        <is>
          <t>KALIX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46326</v>
      </c>
      <c r="F431" t="inlineStr">
        <is>
          <t>NORRBOTTENS LÄN</t>
        </is>
      </c>
      <c r="G431" t="inlineStr">
        <is>
          <t>KALIX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26675-2024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46326</v>
      </c>
      <c r="F432" t="inlineStr">
        <is>
          <t>NORRBOTTENS LÄN</t>
        </is>
      </c>
      <c r="G432" t="inlineStr">
        <is>
          <t>KALIX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46326</v>
      </c>
      <c r="F433" t="inlineStr">
        <is>
          <t>NORRBOTTENS LÄN</t>
        </is>
      </c>
      <c r="G433" t="inlineStr">
        <is>
          <t>KALIX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17598-2024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46326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46326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46326</v>
      </c>
      <c r="F436" t="inlineStr">
        <is>
          <t>NORRBOTTENS LÄN</t>
        </is>
      </c>
      <c r="G436" t="inlineStr">
        <is>
          <t>KALIX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55539-2024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45622</v>
      </c>
      <c r="E437" s="1" t="n">
        <v>46326</v>
      </c>
      <c r="F437" t="inlineStr">
        <is>
          <t>NORRBOTTENS LÄN</t>
        </is>
      </c>
      <c r="G437" t="inlineStr">
        <is>
          <t>KALIX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24033-2026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46167</v>
      </c>
      <c r="E438" s="1" t="n">
        <v>46326</v>
      </c>
      <c r="F438" t="inlineStr">
        <is>
          <t>NORRBOTTENS LÄN</t>
        </is>
      </c>
      <c r="G438" t="inlineStr">
        <is>
          <t>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46326</v>
      </c>
      <c r="F439" t="inlineStr">
        <is>
          <t>NORRBOTTENS LÄN</t>
        </is>
      </c>
      <c r="G439" t="inlineStr">
        <is>
          <t>KALIX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46326</v>
      </c>
      <c r="F440" t="inlineStr">
        <is>
          <t>NORRBOTTENS LÄN</t>
        </is>
      </c>
      <c r="G440" t="inlineStr">
        <is>
          <t>KALIX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58296-2022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44901</v>
      </c>
      <c r="E441" s="1" t="n">
        <v>46326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45505</v>
      </c>
      <c r="E442" s="1" t="n">
        <v>46326</v>
      </c>
      <c r="F442" t="inlineStr">
        <is>
          <t>NORRBOTTENS LÄN</t>
        </is>
      </c>
      <c r="G442" t="inlineStr">
        <is>
          <t>KALIX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46326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45054</v>
      </c>
      <c r="E444" s="1" t="n">
        <v>46326</v>
      </c>
      <c r="F444" t="inlineStr">
        <is>
          <t>NORRBOTTENS LÄN</t>
        </is>
      </c>
      <c r="G444" t="inlineStr">
        <is>
          <t>KALIX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46326</v>
      </c>
      <c r="F445" t="inlineStr">
        <is>
          <t>NORRBOTTENS LÄN</t>
        </is>
      </c>
      <c r="G445" t="inlineStr">
        <is>
          <t>KALIX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46326</v>
      </c>
      <c r="F446" t="inlineStr">
        <is>
          <t>NORRBOTTENS LÄN</t>
        </is>
      </c>
      <c r="G446" t="inlineStr">
        <is>
          <t>KALIX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46326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46326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46326</v>
      </c>
      <c r="F449" t="inlineStr">
        <is>
          <t>NORRBOTTENS LÄN</t>
        </is>
      </c>
      <c r="G449" t="inlineStr">
        <is>
          <t>KALIX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45392</v>
      </c>
      <c r="E450" s="1" t="n">
        <v>46326</v>
      </c>
      <c r="F450" t="inlineStr">
        <is>
          <t>NORRBOTTENS LÄN</t>
        </is>
      </c>
      <c r="G450" t="inlineStr">
        <is>
          <t>KALIX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46326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45044</v>
      </c>
      <c r="E452" s="1" t="n">
        <v>46326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22180-2022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46326</v>
      </c>
      <c r="F453" t="inlineStr">
        <is>
          <t>NORRBOTTENS LÄN</t>
        </is>
      </c>
      <c r="G453" t="inlineStr">
        <is>
          <t>KALIX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46326</v>
      </c>
      <c r="F454" t="inlineStr">
        <is>
          <t>NORRBOTTENS LÄN</t>
        </is>
      </c>
      <c r="G454" t="inlineStr">
        <is>
          <t>KALIX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51839-2023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45215</v>
      </c>
      <c r="E455" s="1" t="n">
        <v>46326</v>
      </c>
      <c r="F455" t="inlineStr">
        <is>
          <t>NORRBOTTENS LÄN</t>
        </is>
      </c>
      <c r="G455" t="inlineStr">
        <is>
          <t>KALIX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45225</v>
      </c>
      <c r="E456" s="1" t="n">
        <v>46326</v>
      </c>
      <c r="F456" t="inlineStr">
        <is>
          <t>NORRBOTTENS LÄN</t>
        </is>
      </c>
      <c r="G456" t="inlineStr">
        <is>
          <t>KALIX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46326</v>
      </c>
      <c r="F457" t="inlineStr">
        <is>
          <t>NORRBOTTENS LÄN</t>
        </is>
      </c>
      <c r="G457" t="inlineStr">
        <is>
          <t>KALIX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46326</v>
      </c>
      <c r="F458" t="inlineStr">
        <is>
          <t>NORRBOTTENS LÄN</t>
        </is>
      </c>
      <c r="G458" t="inlineStr">
        <is>
          <t>KALIX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46326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46326</v>
      </c>
      <c r="F460" t="inlineStr">
        <is>
          <t>NORRBOTTENS LÄN</t>
        </is>
      </c>
      <c r="G460" t="inlineStr">
        <is>
          <t>KALIX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45481</v>
      </c>
      <c r="E461" s="1" t="n">
        <v>46326</v>
      </c>
      <c r="F461" t="inlineStr">
        <is>
          <t>NORRBOTTENS LÄN</t>
        </is>
      </c>
      <c r="G461" t="inlineStr">
        <is>
          <t>KALIX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8272-2023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44974</v>
      </c>
      <c r="E462" s="1" t="n">
        <v>46326</v>
      </c>
      <c r="F462" t="inlineStr">
        <is>
          <t>NORRBOTTENS LÄN</t>
        </is>
      </c>
      <c r="G462" t="inlineStr">
        <is>
          <t>KALIX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46326</v>
      </c>
      <c r="F463" t="inlineStr">
        <is>
          <t>NORRBOTTENS LÄN</t>
        </is>
      </c>
      <c r="G463" t="inlineStr">
        <is>
          <t>KALIX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28155-2026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46195</v>
      </c>
      <c r="E464" s="1" t="n">
        <v>46326</v>
      </c>
      <c r="F464" t="inlineStr">
        <is>
          <t>NORRBOTTENS LÄN</t>
        </is>
      </c>
      <c r="G464" t="inlineStr">
        <is>
          <t>KALIX</t>
        </is>
      </c>
      <c r="I464" t="n">
        <v>8.800000000000001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46326</v>
      </c>
      <c r="F465" t="inlineStr">
        <is>
          <t>NORRBOTTENS LÄN</t>
        </is>
      </c>
      <c r="G465" t="inlineStr">
        <is>
          <t>KALIX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46326</v>
      </c>
      <c r="F466" t="inlineStr">
        <is>
          <t>NORRBOTTENS LÄN</t>
        </is>
      </c>
      <c r="G466" t="inlineStr">
        <is>
          <t>KALIX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28891-2026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46326</v>
      </c>
      <c r="F467" t="inlineStr">
        <is>
          <t>NORRBOTTENS LÄN</t>
        </is>
      </c>
      <c r="G467" t="inlineStr">
        <is>
          <t>KALIX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45049</v>
      </c>
      <c r="E468" s="1" t="n">
        <v>46326</v>
      </c>
      <c r="F468" t="inlineStr">
        <is>
          <t>NORRBOTTENS LÄN</t>
        </is>
      </c>
      <c r="G468" t="inlineStr">
        <is>
          <t>KALIX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46326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46326</v>
      </c>
      <c r="F470" t="inlineStr">
        <is>
          <t>NORRBOTTENS LÄN</t>
        </is>
      </c>
      <c r="G470" t="inlineStr">
        <is>
          <t>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46326</v>
      </c>
      <c r="F471" t="inlineStr">
        <is>
          <t>NORRBOTTENS LÄN</t>
        </is>
      </c>
      <c r="G471" t="inlineStr">
        <is>
          <t>KALIX</t>
        </is>
      </c>
      <c r="H471" t="inlineStr">
        <is>
          <t>Sveaskog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46326</v>
      </c>
      <c r="F472" t="inlineStr">
        <is>
          <t>NORRBOTTENS LÄN</t>
        </is>
      </c>
      <c r="G472" t="inlineStr">
        <is>
          <t>KALIX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46326</v>
      </c>
      <c r="F473" t="inlineStr">
        <is>
          <t>NORRBOTTENS LÄN</t>
        </is>
      </c>
      <c r="G473" t="inlineStr">
        <is>
          <t>KALIX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46326</v>
      </c>
      <c r="F474" t="inlineStr">
        <is>
          <t>NORRBOTTENS LÄN</t>
        </is>
      </c>
      <c r="G474" t="inlineStr">
        <is>
          <t>KALIX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46326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29625-2026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46326</v>
      </c>
      <c r="F476" t="inlineStr">
        <is>
          <t>NORRBOTTENS LÄN</t>
        </is>
      </c>
      <c r="G476" t="inlineStr">
        <is>
          <t>KALIX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46326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46326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69886-2021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44532</v>
      </c>
      <c r="E479" s="1" t="n">
        <v>46326</v>
      </c>
      <c r="F479" t="inlineStr">
        <is>
          <t>NORRBOTTENS LÄN</t>
        </is>
      </c>
      <c r="G479" t="inlineStr">
        <is>
          <t>KALIX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44980</v>
      </c>
      <c r="E480" s="1" t="n">
        <v>46326</v>
      </c>
      <c r="F480" t="inlineStr">
        <is>
          <t>NORRBOTTENS LÄN</t>
        </is>
      </c>
      <c r="G480" t="inlineStr">
        <is>
          <t>KALIX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59021-2022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46326</v>
      </c>
      <c r="F481" t="inlineStr">
        <is>
          <t>NORRBOTTENS LÄN</t>
        </is>
      </c>
      <c r="G481" t="inlineStr">
        <is>
          <t>KALIX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45266</v>
      </c>
      <c r="E482" s="1" t="n">
        <v>46326</v>
      </c>
      <c r="F482" t="inlineStr">
        <is>
          <t>NORRBOTTENS LÄN</t>
        </is>
      </c>
      <c r="G482" t="inlineStr">
        <is>
          <t>KALIX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45266</v>
      </c>
      <c r="E483" s="1" t="n">
        <v>46326</v>
      </c>
      <c r="F483" t="inlineStr">
        <is>
          <t>NORRBOTTENS LÄN</t>
        </is>
      </c>
      <c r="G483" t="inlineStr">
        <is>
          <t>KALIX</t>
        </is>
      </c>
      <c r="I483" t="n">
        <v>17.7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49759-2022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44862</v>
      </c>
      <c r="E484" s="1" t="n">
        <v>46326</v>
      </c>
      <c r="F484" t="inlineStr">
        <is>
          <t>NORRBOTTENS LÄN</t>
        </is>
      </c>
      <c r="G484" t="inlineStr">
        <is>
          <t>KALIX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6624-2025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45700</v>
      </c>
      <c r="E485" s="1" t="n">
        <v>46326</v>
      </c>
      <c r="F485" t="inlineStr">
        <is>
          <t>NORRBOTTENS LÄN</t>
        </is>
      </c>
      <c r="G485" t="inlineStr">
        <is>
          <t>KALIX</t>
        </is>
      </c>
      <c r="H485" t="inlineStr">
        <is>
          <t>SCA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45058</v>
      </c>
      <c r="E486" s="1" t="n">
        <v>46326</v>
      </c>
      <c r="F486" t="inlineStr">
        <is>
          <t>NORRBOTTENS LÄN</t>
        </is>
      </c>
      <c r="G486" t="inlineStr">
        <is>
          <t>KALIX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44411-2024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45573</v>
      </c>
      <c r="E487" s="1" t="n">
        <v>46326</v>
      </c>
      <c r="F487" t="inlineStr">
        <is>
          <t>NORRBOTTENS LÄN</t>
        </is>
      </c>
      <c r="G487" t="inlineStr">
        <is>
          <t>KALIX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14207-2024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45393</v>
      </c>
      <c r="E488" s="1" t="n">
        <v>46326</v>
      </c>
      <c r="F488" t="inlineStr">
        <is>
          <t>NORRBOTTENS LÄN</t>
        </is>
      </c>
      <c r="G488" t="inlineStr">
        <is>
          <t>KALIX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57939-2023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45247</v>
      </c>
      <c r="E489" s="1" t="n">
        <v>46326</v>
      </c>
      <c r="F489" t="inlineStr">
        <is>
          <t>NORRBOTTENS LÄN</t>
        </is>
      </c>
      <c r="G489" t="inlineStr">
        <is>
          <t>KALIX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46221</v>
      </c>
      <c r="E490" s="1" t="n">
        <v>46326</v>
      </c>
      <c r="F490" t="inlineStr">
        <is>
          <t>NORRBOTTENS LÄN</t>
        </is>
      </c>
      <c r="G490" t="inlineStr">
        <is>
          <t>KALIX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11856-2023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44995</v>
      </c>
      <c r="E491" s="1" t="n">
        <v>46326</v>
      </c>
      <c r="F491" t="inlineStr">
        <is>
          <t>NORRBOTTENS LÄN</t>
        </is>
      </c>
      <c r="G491" t="inlineStr">
        <is>
          <t>KALIX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46225</v>
      </c>
      <c r="E492" s="1" t="n">
        <v>46326</v>
      </c>
      <c r="F492" t="inlineStr">
        <is>
          <t>NORRBOTTENS LÄN</t>
        </is>
      </c>
      <c r="G492" t="inlineStr">
        <is>
          <t>KALIX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56470-2023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46326</v>
      </c>
      <c r="F493" t="inlineStr">
        <is>
          <t>NORRBOTTENS LÄN</t>
        </is>
      </c>
      <c r="G493" t="inlineStr">
        <is>
          <t>KALIX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45419</v>
      </c>
      <c r="E494" s="1" t="n">
        <v>46326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57117-2024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45629</v>
      </c>
      <c r="E495" s="1" t="n">
        <v>46326</v>
      </c>
      <c r="F495" t="inlineStr">
        <is>
          <t>NORRBOTTENS LÄN</t>
        </is>
      </c>
      <c r="G495" t="inlineStr">
        <is>
          <t>KALIX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46233</v>
      </c>
      <c r="E496" s="1" t="n">
        <v>46326</v>
      </c>
      <c r="F496" t="inlineStr">
        <is>
          <t>NORRBOTTENS LÄN</t>
        </is>
      </c>
      <c r="G496" t="inlineStr">
        <is>
          <t>KALIX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32114-2026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46233</v>
      </c>
      <c r="E497" s="1" t="n">
        <v>46326</v>
      </c>
      <c r="F497" t="inlineStr">
        <is>
          <t>NORRBOTTENS LÄN</t>
        </is>
      </c>
      <c r="G497" t="inlineStr">
        <is>
          <t>KALIX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46326</v>
      </c>
      <c r="F498" t="inlineStr">
        <is>
          <t>NORRBOTTENS LÄN</t>
        </is>
      </c>
      <c r="G498" t="inlineStr">
        <is>
          <t>KALIX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45429</v>
      </c>
      <c r="E499" s="1" t="n">
        <v>46326</v>
      </c>
      <c r="F499" t="inlineStr">
        <is>
          <t>NORRBOTTENS LÄN</t>
        </is>
      </c>
      <c r="G499" t="inlineStr">
        <is>
          <t>KALIX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46234</v>
      </c>
      <c r="E500" s="1" t="n">
        <v>46326</v>
      </c>
      <c r="F500" t="inlineStr">
        <is>
          <t>NORRBOTTENS LÄN</t>
        </is>
      </c>
      <c r="G500" t="inlineStr">
        <is>
          <t>KALIX</t>
        </is>
      </c>
      <c r="H500" t="inlineStr">
        <is>
          <t>Sveaskog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46326</v>
      </c>
      <c r="F501" t="inlineStr">
        <is>
          <t>NORRBOTTENS LÄN</t>
        </is>
      </c>
      <c r="G501" t="inlineStr">
        <is>
          <t>KALIX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7236-2022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44603</v>
      </c>
      <c r="E502" s="1" t="n">
        <v>46326</v>
      </c>
      <c r="F502" t="inlineStr">
        <is>
          <t>NORRBOTTENS LÄN</t>
        </is>
      </c>
      <c r="G502" t="inlineStr">
        <is>
          <t>KALIX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32327-2026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46238</v>
      </c>
      <c r="E503" s="1" t="n">
        <v>46326</v>
      </c>
      <c r="F503" t="inlineStr">
        <is>
          <t>NORRBOTTENS LÄN</t>
        </is>
      </c>
      <c r="G503" t="inlineStr">
        <is>
          <t>KALIX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35051-2023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45145</v>
      </c>
      <c r="E504" s="1" t="n">
        <v>46326</v>
      </c>
      <c r="F504" t="inlineStr">
        <is>
          <t>NORRBOTTENS LÄN</t>
        </is>
      </c>
      <c r="G504" t="inlineStr">
        <is>
          <t>KALIX</t>
        </is>
      </c>
      <c r="H504" t="inlineStr">
        <is>
          <t>Sveaskog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46326</v>
      </c>
      <c r="F505" t="inlineStr">
        <is>
          <t>NORRBOTTENS LÄN</t>
        </is>
      </c>
      <c r="G505" t="inlineStr">
        <is>
          <t>KALIX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46326</v>
      </c>
      <c r="F506" t="inlineStr">
        <is>
          <t>NORRBOTTENS LÄN</t>
        </is>
      </c>
      <c r="G506" t="inlineStr">
        <is>
          <t>KALIX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45261</v>
      </c>
      <c r="E507" s="1" t="n">
        <v>46326</v>
      </c>
      <c r="F507" t="inlineStr">
        <is>
          <t>NORRBOTTENS LÄN</t>
        </is>
      </c>
      <c r="G507" t="inlineStr">
        <is>
          <t>KALIX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46326</v>
      </c>
      <c r="F508" t="inlineStr">
        <is>
          <t>NORRBOTTENS LÄN</t>
        </is>
      </c>
      <c r="G508" t="inlineStr">
        <is>
          <t>KALIX</t>
        </is>
      </c>
      <c r="I508" t="n">
        <v>11.9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46326</v>
      </c>
      <c r="F509" t="inlineStr">
        <is>
          <t>NORRBOTTENS LÄN</t>
        </is>
      </c>
      <c r="G509" t="inlineStr">
        <is>
          <t>KALIX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46326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46326</v>
      </c>
      <c r="F511" t="inlineStr">
        <is>
          <t>NORRBOTTENS LÄN</t>
        </is>
      </c>
      <c r="G511" t="inlineStr">
        <is>
          <t>KALIX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38801-2026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46286</v>
      </c>
      <c r="E512" s="1" t="n">
        <v>46326</v>
      </c>
      <c r="F512" t="inlineStr">
        <is>
          <t>NORRBOTTENS LÄN</t>
        </is>
      </c>
      <c r="G512" t="inlineStr">
        <is>
          <t>KALIX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58575-2022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44894</v>
      </c>
      <c r="E513" s="1" t="n">
        <v>46326</v>
      </c>
      <c r="F513" t="inlineStr">
        <is>
          <t>NORRBOTTENS LÄN</t>
        </is>
      </c>
      <c r="G513" t="inlineStr">
        <is>
          <t>KALIX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46286</v>
      </c>
      <c r="E514" s="1" t="n">
        <v>46326</v>
      </c>
      <c r="F514" t="inlineStr">
        <is>
          <t>NORRBOTTENS LÄN</t>
        </is>
      </c>
      <c r="G514" t="inlineStr">
        <is>
          <t>KALIX</t>
        </is>
      </c>
      <c r="I514" t="n">
        <v>9.6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45719</v>
      </c>
      <c r="E515" s="1" t="n">
        <v>46326</v>
      </c>
      <c r="F515" t="inlineStr">
        <is>
          <t>NORRBOTTENS LÄN</t>
        </is>
      </c>
      <c r="G515" t="inlineStr">
        <is>
          <t>KALIX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46326</v>
      </c>
      <c r="F516" t="inlineStr">
        <is>
          <t>NORRBOTTENS LÄN</t>
        </is>
      </c>
      <c r="G516" t="inlineStr">
        <is>
          <t>KALIX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39003-2023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46326</v>
      </c>
      <c r="F517" t="inlineStr">
        <is>
          <t>NORRBOTTENS LÄN</t>
        </is>
      </c>
      <c r="G517" t="inlineStr">
        <is>
          <t>KALIX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62139-2023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45266</v>
      </c>
      <c r="E518" s="1" t="n">
        <v>46326</v>
      </c>
      <c r="F518" t="inlineStr">
        <is>
          <t>NORRBOTTENS LÄN</t>
        </is>
      </c>
      <c r="G518" t="inlineStr">
        <is>
          <t>KALIX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45266</v>
      </c>
      <c r="E519" s="1" t="n">
        <v>46326</v>
      </c>
      <c r="F519" t="inlineStr">
        <is>
          <t>NORRBOTTENS LÄN</t>
        </is>
      </c>
      <c r="G519" t="inlineStr">
        <is>
          <t>KALIX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30814-2023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45112</v>
      </c>
      <c r="E520" s="1" t="n">
        <v>46326</v>
      </c>
      <c r="F520" t="inlineStr">
        <is>
          <t>NORRBOTTENS LÄN</t>
        </is>
      </c>
      <c r="G520" t="inlineStr">
        <is>
          <t>KALIX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45198</v>
      </c>
      <c r="E521" s="1" t="n">
        <v>46326</v>
      </c>
      <c r="F521" t="inlineStr">
        <is>
          <t>NORRBOTTENS LÄN</t>
        </is>
      </c>
      <c r="G521" t="inlineStr">
        <is>
          <t>KALIX</t>
        </is>
      </c>
      <c r="H521" t="inlineStr">
        <is>
          <t>Sveaskog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23878-2022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44722</v>
      </c>
      <c r="E522" s="1" t="n">
        <v>46326</v>
      </c>
      <c r="F522" t="inlineStr">
        <is>
          <t>NORRBOTTENS LÄN</t>
        </is>
      </c>
      <c r="G522" t="inlineStr">
        <is>
          <t>KALIX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46289</v>
      </c>
      <c r="E523" s="1" t="n">
        <v>46326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45054</v>
      </c>
      <c r="E524" s="1" t="n">
        <v>46326</v>
      </c>
      <c r="F524" t="inlineStr">
        <is>
          <t>NORRBOTTENS LÄN</t>
        </is>
      </c>
      <c r="G524" t="inlineStr">
        <is>
          <t>KALIX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46326</v>
      </c>
      <c r="F525" t="inlineStr">
        <is>
          <t>NORRBOTTENS LÄN</t>
        </is>
      </c>
      <c r="G525" t="inlineStr">
        <is>
          <t>KALIX</t>
        </is>
      </c>
      <c r="I525" t="n">
        <v>8.800000000000001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17435-2023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46326</v>
      </c>
      <c r="F526" t="inlineStr">
        <is>
          <t>NORRBOTTENS LÄN</t>
        </is>
      </c>
      <c r="G526" t="inlineStr">
        <is>
          <t>KALIX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4199-2025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45685</v>
      </c>
      <c r="E527" s="1" t="n">
        <v>46326</v>
      </c>
      <c r="F527" t="inlineStr">
        <is>
          <t>NORRBOTTENS LÄN</t>
        </is>
      </c>
      <c r="G527" t="inlineStr">
        <is>
          <t>KALIX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62444-2022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44924</v>
      </c>
      <c r="E528" s="1" t="n">
        <v>46326</v>
      </c>
      <c r="F528" t="inlineStr">
        <is>
          <t>NORRBOTTENS LÄN</t>
        </is>
      </c>
      <c r="G528" t="inlineStr">
        <is>
          <t>KALIX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46326</v>
      </c>
      <c r="F529" t="inlineStr">
        <is>
          <t>NORRBOTTENS LÄN</t>
        </is>
      </c>
      <c r="G529" t="inlineStr">
        <is>
          <t>KALIX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46288</v>
      </c>
      <c r="E530" s="1" t="n">
        <v>46326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46288</v>
      </c>
      <c r="E531" s="1" t="n">
        <v>46326</v>
      </c>
      <c r="F531" t="inlineStr">
        <is>
          <t>NORRBOTTENS LÄN</t>
        </is>
      </c>
      <c r="G531" t="inlineStr">
        <is>
          <t>KALIX</t>
        </is>
      </c>
      <c r="H531" t="inlineStr">
        <is>
          <t>SCA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39634-2026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46289</v>
      </c>
      <c r="E532" s="1" t="n">
        <v>46326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46326</v>
      </c>
      <c r="F533" t="inlineStr">
        <is>
          <t>NORRBOTTENS LÄN</t>
        </is>
      </c>
      <c r="G533" t="inlineStr">
        <is>
          <t>KALIX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46326</v>
      </c>
      <c r="F534" t="inlineStr">
        <is>
          <t>NORRBOTTENS LÄN</t>
        </is>
      </c>
      <c r="G534" t="inlineStr">
        <is>
          <t>KALIX</t>
        </is>
      </c>
      <c r="I534" t="n">
        <v>19.3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46248</v>
      </c>
      <c r="E535" s="1" t="n">
        <v>46326</v>
      </c>
      <c r="F535" t="inlineStr">
        <is>
          <t>NORRBOTTENS LÄN</t>
        </is>
      </c>
      <c r="G535" t="inlineStr">
        <is>
          <t>KALIX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62979-2025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46326</v>
      </c>
      <c r="F536" t="inlineStr">
        <is>
          <t>NORRBOTTENS LÄN</t>
        </is>
      </c>
      <c r="G536" t="inlineStr">
        <is>
          <t>KALIX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22216-2025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45785</v>
      </c>
      <c r="E537" s="1" t="n">
        <v>46326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20.9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21875-2025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45784</v>
      </c>
      <c r="E538" s="1" t="n">
        <v>46326</v>
      </c>
      <c r="F538" t="inlineStr">
        <is>
          <t>NORRBOTTENS LÄN</t>
        </is>
      </c>
      <c r="G538" t="inlineStr">
        <is>
          <t>KALIX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39858-2026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46326</v>
      </c>
      <c r="F539" t="inlineStr">
        <is>
          <t>NORRBOTTENS LÄN</t>
        </is>
      </c>
      <c r="G539" t="inlineStr">
        <is>
          <t>KALIX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16046-2024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45405</v>
      </c>
      <c r="E540" s="1" t="n">
        <v>46326</v>
      </c>
      <c r="F540" t="inlineStr">
        <is>
          <t>NORRBOTTENS LÄN</t>
        </is>
      </c>
      <c r="G540" t="inlineStr">
        <is>
          <t>KALIX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45429</v>
      </c>
      <c r="E541" s="1" t="n">
        <v>46326</v>
      </c>
      <c r="F541" t="inlineStr">
        <is>
          <t>NORRBOTTENS LÄN</t>
        </is>
      </c>
      <c r="G541" t="inlineStr">
        <is>
          <t>KALIX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15823-2025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45748</v>
      </c>
      <c r="E542" s="1" t="n">
        <v>46326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62443-2023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46326</v>
      </c>
      <c r="F543" t="inlineStr">
        <is>
          <t>NORRBOTTENS LÄN</t>
        </is>
      </c>
      <c r="G543" t="inlineStr">
        <is>
          <t>KALIX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39857-2026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46290</v>
      </c>
      <c r="E544" s="1" t="n">
        <v>46326</v>
      </c>
      <c r="F544" t="inlineStr">
        <is>
          <t>NORRBOTTENS LÄN</t>
        </is>
      </c>
      <c r="G544" t="inlineStr">
        <is>
          <t>KALIX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46326</v>
      </c>
      <c r="F545" t="inlineStr">
        <is>
          <t>NORRBOTTENS LÄN</t>
        </is>
      </c>
      <c r="G545" t="inlineStr">
        <is>
          <t>KALIX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62525-2022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46326</v>
      </c>
      <c r="F546" t="inlineStr">
        <is>
          <t>NORRBOTTENS LÄN</t>
        </is>
      </c>
      <c r="G546" t="inlineStr">
        <is>
          <t>KALIX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46326</v>
      </c>
      <c r="F547" t="inlineStr">
        <is>
          <t>NORRBOTTENS LÄN</t>
        </is>
      </c>
      <c r="G547" t="inlineStr">
        <is>
          <t>KALIX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46326</v>
      </c>
      <c r="F548" t="inlineStr">
        <is>
          <t>NORRBOTTENS LÄN</t>
        </is>
      </c>
      <c r="G548" t="inlineStr">
        <is>
          <t>KALIX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23027-2025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46326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46326</v>
      </c>
      <c r="F550" t="inlineStr">
        <is>
          <t>NORRBOTTENS LÄN</t>
        </is>
      </c>
      <c r="G550" t="inlineStr">
        <is>
          <t>KALIX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46326</v>
      </c>
      <c r="F551" t="inlineStr">
        <is>
          <t>NORRBOTTENS LÄN</t>
        </is>
      </c>
      <c r="G551" t="inlineStr">
        <is>
          <t>KALIX</t>
        </is>
      </c>
      <c r="I551" t="n">
        <v>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46326</v>
      </c>
      <c r="F552" t="inlineStr">
        <is>
          <t>NORRBOTTENS LÄN</t>
        </is>
      </c>
      <c r="G552" t="inlineStr">
        <is>
          <t>KALIX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47429-2025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46326</v>
      </c>
      <c r="F553" t="inlineStr">
        <is>
          <t>NORRBOTTENS LÄN</t>
        </is>
      </c>
      <c r="G553" t="inlineStr">
        <is>
          <t>KALIX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7234-2026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46326</v>
      </c>
      <c r="F554" t="inlineStr">
        <is>
          <t>NORRBOTTENS LÄN</t>
        </is>
      </c>
      <c r="G554" t="inlineStr">
        <is>
          <t>KALIX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13380-2023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45005</v>
      </c>
      <c r="E555" s="1" t="n">
        <v>46326</v>
      </c>
      <c r="F555" t="inlineStr">
        <is>
          <t>NORRBOTTENS LÄN</t>
        </is>
      </c>
      <c r="G555" t="inlineStr">
        <is>
          <t>KALIX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9887-2024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45363</v>
      </c>
      <c r="E556" s="1" t="n">
        <v>46326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46326</v>
      </c>
      <c r="F557" t="inlineStr">
        <is>
          <t>NORRBOTTENS LÄN</t>
        </is>
      </c>
      <c r="G557" t="inlineStr">
        <is>
          <t>KALIX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46326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41131-2023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46326</v>
      </c>
      <c r="F559" t="inlineStr">
        <is>
          <t>NORRBOTTENS LÄN</t>
        </is>
      </c>
      <c r="G559" t="inlineStr">
        <is>
          <t>KALIX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45799</v>
      </c>
      <c r="E560" s="1" t="n">
        <v>46326</v>
      </c>
      <c r="F560" t="inlineStr">
        <is>
          <t>NORRBOTTENS LÄN</t>
        </is>
      </c>
      <c r="G560" t="inlineStr">
        <is>
          <t>KALIX</t>
        </is>
      </c>
      <c r="H560" t="inlineStr">
        <is>
          <t>SCA</t>
        </is>
      </c>
      <c r="I560" t="n">
        <v>17.9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46254</v>
      </c>
      <c r="E561" s="1" t="n">
        <v>46326</v>
      </c>
      <c r="F561" t="inlineStr">
        <is>
          <t>NORRBOTTENS LÄN</t>
        </is>
      </c>
      <c r="G561" t="inlineStr">
        <is>
          <t>KALIX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46326</v>
      </c>
      <c r="F562" t="inlineStr">
        <is>
          <t>NORRBOTTENS LÄN</t>
        </is>
      </c>
      <c r="G562" t="inlineStr">
        <is>
          <t>KALIX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46326</v>
      </c>
      <c r="F563" t="inlineStr">
        <is>
          <t>NORRBOTTENS LÄN</t>
        </is>
      </c>
      <c r="G563" t="inlineStr">
        <is>
          <t>KALIX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46326</v>
      </c>
      <c r="F564" t="inlineStr">
        <is>
          <t>NORRBOTTENS LÄN</t>
        </is>
      </c>
      <c r="G564" t="inlineStr">
        <is>
          <t>KALIX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46326</v>
      </c>
      <c r="F565" t="inlineStr">
        <is>
          <t>NORRBOTTENS LÄN</t>
        </is>
      </c>
      <c r="G565" t="inlineStr">
        <is>
          <t>KALIX</t>
        </is>
      </c>
      <c r="I565" t="n">
        <v>13.6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34773-2026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46326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46326</v>
      </c>
      <c r="F567" t="inlineStr">
        <is>
          <t>NORRBOTTENS LÄN</t>
        </is>
      </c>
      <c r="G567" t="inlineStr">
        <is>
          <t>KALIX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46326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46326</v>
      </c>
      <c r="F569" t="inlineStr">
        <is>
          <t>NORRBOTTENS LÄN</t>
        </is>
      </c>
      <c r="G569" t="inlineStr">
        <is>
          <t>KALIX</t>
        </is>
      </c>
      <c r="H569" t="inlineStr">
        <is>
          <t>Sveaskog</t>
        </is>
      </c>
      <c r="I569" t="n">
        <v>17.8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46255</v>
      </c>
      <c r="E570" s="1" t="n">
        <v>46326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46310</v>
      </c>
      <c r="E571" s="1" t="n">
        <v>46326</v>
      </c>
      <c r="F571" t="inlineStr">
        <is>
          <t>NORRBOTTENS LÄN</t>
        </is>
      </c>
      <c r="G571" t="inlineStr">
        <is>
          <t>KALIX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46310</v>
      </c>
      <c r="E572" s="1" t="n">
        <v>46326</v>
      </c>
      <c r="F572" t="inlineStr">
        <is>
          <t>NORRBOTTENS LÄN</t>
        </is>
      </c>
      <c r="G572" t="inlineStr">
        <is>
          <t>KALIX</t>
        </is>
      </c>
      <c r="I572" t="n">
        <v>11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42979-2026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46310</v>
      </c>
      <c r="E573" s="1" t="n">
        <v>46326</v>
      </c>
      <c r="F573" t="inlineStr">
        <is>
          <t>NORRBOTTENS LÄN</t>
        </is>
      </c>
      <c r="G573" t="inlineStr">
        <is>
          <t>KALIX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46326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46326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46326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46326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46310</v>
      </c>
      <c r="E578" s="1" t="n">
        <v>46326</v>
      </c>
      <c r="F578" t="inlineStr">
        <is>
          <t>NORRBOTTENS LÄN</t>
        </is>
      </c>
      <c r="G578" t="inlineStr">
        <is>
          <t>KALIX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43181-2026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46312</v>
      </c>
      <c r="E579" s="1" t="n">
        <v>46326</v>
      </c>
      <c r="F579" t="inlineStr">
        <is>
          <t>NORRBOTTENS LÄN</t>
        </is>
      </c>
      <c r="G579" t="inlineStr">
        <is>
          <t>KALIX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43183-2026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46312</v>
      </c>
      <c r="E580" s="1" t="n">
        <v>46326</v>
      </c>
      <c r="F580" t="inlineStr">
        <is>
          <t>NORRBOTTENS LÄN</t>
        </is>
      </c>
      <c r="G580" t="inlineStr">
        <is>
          <t>KALIX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46312</v>
      </c>
      <c r="E581" s="1" t="n">
        <v>46326</v>
      </c>
      <c r="F581" t="inlineStr">
        <is>
          <t>NORRBOTTENS LÄN</t>
        </is>
      </c>
      <c r="G581" t="inlineStr">
        <is>
          <t>KALIX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43440-2026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46314</v>
      </c>
      <c r="E582" s="1" t="n">
        <v>46326</v>
      </c>
      <c r="F582" t="inlineStr">
        <is>
          <t>NORRBOTTENS LÄN</t>
        </is>
      </c>
      <c r="G582" t="inlineStr">
        <is>
          <t>KALIX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46269</v>
      </c>
      <c r="E583" s="1" t="n">
        <v>46326</v>
      </c>
      <c r="F583" t="inlineStr">
        <is>
          <t>NORRBOTTENS LÄN</t>
        </is>
      </c>
      <c r="G583" t="inlineStr">
        <is>
          <t>KALIX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46326</v>
      </c>
      <c r="F584" t="inlineStr">
        <is>
          <t>NORRBOTTENS LÄN</t>
        </is>
      </c>
      <c r="G584" t="inlineStr">
        <is>
          <t>KALIX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37410-2026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46275</v>
      </c>
      <c r="E585" s="1" t="n">
        <v>46326</v>
      </c>
      <c r="F585" t="inlineStr">
        <is>
          <t>NORRBOTTENS LÄN</t>
        </is>
      </c>
      <c r="G585" t="inlineStr">
        <is>
          <t>KALIX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46275</v>
      </c>
      <c r="E586" s="1" t="n">
        <v>46326</v>
      </c>
      <c r="F586" t="inlineStr">
        <is>
          <t>NORRBOTTENS LÄN</t>
        </is>
      </c>
      <c r="G586" t="inlineStr">
        <is>
          <t>KALIX</t>
        </is>
      </c>
      <c r="I586" t="n">
        <v>7.4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46274</v>
      </c>
      <c r="E587" s="1" t="n">
        <v>46326</v>
      </c>
      <c r="F587" t="inlineStr">
        <is>
          <t>NORRBOTTENS LÄN</t>
        </is>
      </c>
      <c r="G587" t="inlineStr">
        <is>
          <t>KALIX</t>
        </is>
      </c>
      <c r="I587" t="n">
        <v>11.7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43957-2026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46317</v>
      </c>
      <c r="E588" s="1" t="n">
        <v>46326</v>
      </c>
      <c r="F588" t="inlineStr">
        <is>
          <t>NORRBOTTENS LÄN</t>
        </is>
      </c>
      <c r="G588" t="inlineStr">
        <is>
          <t>KALIX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46326</v>
      </c>
      <c r="F589" t="inlineStr">
        <is>
          <t>NORRBOTTENS LÄN</t>
        </is>
      </c>
      <c r="G589" t="inlineStr">
        <is>
          <t>KALIX</t>
        </is>
      </c>
      <c r="I589" t="n">
        <v>16.4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46275</v>
      </c>
      <c r="E590" s="1" t="n">
        <v>46326</v>
      </c>
      <c r="F590" t="inlineStr">
        <is>
          <t>NORRBOTTENS LÄN</t>
        </is>
      </c>
      <c r="G590" t="inlineStr">
        <is>
          <t>KALIX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37492-2026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46275</v>
      </c>
      <c r="E591" s="1" t="n">
        <v>46326</v>
      </c>
      <c r="F591" t="inlineStr">
        <is>
          <t>NORRBOTTENS LÄN</t>
        </is>
      </c>
      <c r="G591" t="inlineStr">
        <is>
          <t>KALIX</t>
        </is>
      </c>
      <c r="H591" t="inlineStr">
        <is>
          <t>SCA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44230-2026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46318</v>
      </c>
      <c r="E592" s="1" t="n">
        <v>46326</v>
      </c>
      <c r="F592" t="inlineStr">
        <is>
          <t>NORRBOTTENS LÄN</t>
        </is>
      </c>
      <c r="G592" t="inlineStr">
        <is>
          <t>KALIX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46318</v>
      </c>
      <c r="E593" s="1" t="n">
        <v>46326</v>
      </c>
      <c r="F593" t="inlineStr">
        <is>
          <t>NORRBOTTENS LÄN</t>
        </is>
      </c>
      <c r="G593" t="inlineStr">
        <is>
          <t>KALIX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44167-2026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46318</v>
      </c>
      <c r="E594" s="1" t="n">
        <v>46326</v>
      </c>
      <c r="F594" t="inlineStr">
        <is>
          <t>NORRBOTTENS LÄN</t>
        </is>
      </c>
      <c r="G594" t="inlineStr">
        <is>
          <t>KALIX</t>
        </is>
      </c>
      <c r="H594" t="inlineStr">
        <is>
          <t>SCA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45510</v>
      </c>
      <c r="E595" s="1" t="n">
        <v>46326</v>
      </c>
      <c r="F595" t="inlineStr">
        <is>
          <t>NORRBOTTENS LÄN</t>
        </is>
      </c>
      <c r="G595" t="inlineStr">
        <is>
          <t>KALIX</t>
        </is>
      </c>
      <c r="H595" t="inlineStr">
        <is>
          <t>SCA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44222-2026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46318</v>
      </c>
      <c r="E596" s="1" t="n">
        <v>46326</v>
      </c>
      <c r="F596" t="inlineStr">
        <is>
          <t>NORRBOTTENS LÄN</t>
        </is>
      </c>
      <c r="G596" t="inlineStr">
        <is>
          <t>KALIX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44492-2026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46321</v>
      </c>
      <c r="E597" s="1" t="n">
        <v>46326</v>
      </c>
      <c r="F597" t="inlineStr">
        <is>
          <t>NORRBOTTENS LÄN</t>
        </is>
      </c>
      <c r="G597" t="inlineStr">
        <is>
          <t>KALIX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37834-2026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46279</v>
      </c>
      <c r="E598" s="1" t="n">
        <v>46326</v>
      </c>
      <c r="F598" t="inlineStr">
        <is>
          <t>NORRBOTTENS LÄN</t>
        </is>
      </c>
      <c r="G598" t="inlineStr">
        <is>
          <t>KALIX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37845-2026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46279</v>
      </c>
      <c r="E599" s="1" t="n">
        <v>46326</v>
      </c>
      <c r="F599" t="inlineStr">
        <is>
          <t>NORRBOTTENS LÄN</t>
        </is>
      </c>
      <c r="G599" t="inlineStr">
        <is>
          <t>KALIX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46321</v>
      </c>
      <c r="E600" s="1" t="n">
        <v>46326</v>
      </c>
      <c r="F600" t="inlineStr">
        <is>
          <t>NORRBOTTENS LÄN</t>
        </is>
      </c>
      <c r="G600" t="inlineStr">
        <is>
          <t>KALIX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44762-2026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46322</v>
      </c>
      <c r="E601" s="1" t="n">
        <v>46326</v>
      </c>
      <c r="F601" t="inlineStr">
        <is>
          <t>NORRBOTTENS LÄN</t>
        </is>
      </c>
      <c r="G601" t="inlineStr">
        <is>
          <t>KALIX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44486-2026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46321</v>
      </c>
      <c r="E602" s="1" t="n">
        <v>46326</v>
      </c>
      <c r="F602" t="inlineStr">
        <is>
          <t>NORRBOTTENS LÄN</t>
        </is>
      </c>
      <c r="G602" t="inlineStr">
        <is>
          <t>KALIX</t>
        </is>
      </c>
      <c r="I602" t="n">
        <v>6.7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44554-2026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46317</v>
      </c>
      <c r="E603" s="1" t="n">
        <v>46326</v>
      </c>
      <c r="F603" t="inlineStr">
        <is>
          <t>NORRBOTTENS LÄN</t>
        </is>
      </c>
      <c r="G603" t="inlineStr">
        <is>
          <t>KALIX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46280</v>
      </c>
      <c r="E604" s="1" t="n">
        <v>46326</v>
      </c>
      <c r="F604" t="inlineStr">
        <is>
          <t>NORRBOTTENS LÄN</t>
        </is>
      </c>
      <c r="G604" t="inlineStr">
        <is>
          <t>KALIX</t>
        </is>
      </c>
      <c r="H604" t="inlineStr">
        <is>
          <t>Sveaskog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37859-2026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46326</v>
      </c>
      <c r="F605" t="inlineStr">
        <is>
          <t>NORRBOTTENS LÄN</t>
        </is>
      </c>
      <c r="G605" t="inlineStr">
        <is>
          <t>KALIX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44461-2026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46321</v>
      </c>
      <c r="E606" s="1" t="n">
        <v>46326</v>
      </c>
      <c r="F606" t="inlineStr">
        <is>
          <t>NORRBOTTENS LÄN</t>
        </is>
      </c>
      <c r="G606" t="inlineStr">
        <is>
          <t>KALIX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44414-2026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46321</v>
      </c>
      <c r="E607" s="1" t="n">
        <v>46326</v>
      </c>
      <c r="F607" t="inlineStr">
        <is>
          <t>NORRBOTTENS LÄN</t>
        </is>
      </c>
      <c r="G607" t="inlineStr">
        <is>
          <t>KALIX</t>
        </is>
      </c>
      <c r="H607" t="inlineStr">
        <is>
          <t>SCA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44855-2026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46323</v>
      </c>
      <c r="E608" s="1" t="n">
        <v>46326</v>
      </c>
      <c r="F608" t="inlineStr">
        <is>
          <t>NORRBOTTENS LÄN</t>
        </is>
      </c>
      <c r="G608" t="inlineStr">
        <is>
          <t>KALIX</t>
        </is>
      </c>
      <c r="H608" t="inlineStr">
        <is>
          <t>SCA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46324</v>
      </c>
      <c r="E609" s="1" t="n">
        <v>46326</v>
      </c>
      <c r="F609" t="inlineStr">
        <is>
          <t>NORRBOTTENS LÄN</t>
        </is>
      </c>
      <c r="G609" t="inlineStr">
        <is>
          <t>KALIX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45010-2026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46324</v>
      </c>
      <c r="E610" s="1" t="n">
        <v>46326</v>
      </c>
      <c r="F610" t="inlineStr">
        <is>
          <t>NORRBOTTENS LÄN</t>
        </is>
      </c>
      <c r="G610" t="inlineStr">
        <is>
          <t>KALIX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46282</v>
      </c>
      <c r="E611" s="1" t="n">
        <v>46326</v>
      </c>
      <c r="F611" t="inlineStr">
        <is>
          <t>NORRBOTTENS LÄN</t>
        </is>
      </c>
      <c r="G611" t="inlineStr">
        <is>
          <t>KALIX</t>
        </is>
      </c>
      <c r="H611" t="inlineStr">
        <is>
          <t>SCA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45279-2026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46325</v>
      </c>
      <c r="E612" s="1" t="n">
        <v>46326</v>
      </c>
      <c r="F612" t="inlineStr">
        <is>
          <t>NORRBOTTENS LÄN</t>
        </is>
      </c>
      <c r="G612" t="inlineStr">
        <is>
          <t>KALIX</t>
        </is>
      </c>
      <c r="I612" t="n">
        <v>8.5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46326</v>
      </c>
      <c r="F613" t="inlineStr">
        <is>
          <t>NORRBOTTENS LÄN</t>
        </is>
      </c>
      <c r="G613" t="inlineStr">
        <is>
          <t>KALIX</t>
        </is>
      </c>
      <c r="I613" t="n">
        <v>8.699999999999999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46325</v>
      </c>
      <c r="E614" s="1" t="n">
        <v>46326</v>
      </c>
      <c r="F614" t="inlineStr">
        <is>
          <t>NORRBOTTENS LÄN</t>
        </is>
      </c>
      <c r="G614" t="inlineStr">
        <is>
          <t>KALIX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2172-2022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44678</v>
      </c>
      <c r="E615" s="1" t="n">
        <v>46326</v>
      </c>
      <c r="F615" t="inlineStr">
        <is>
          <t>NORRBOTTENS LÄN</t>
        </is>
      </c>
      <c r="G615" t="inlineStr">
        <is>
          <t>KALIX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1138-2024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45393</v>
      </c>
      <c r="E616" s="1" t="n">
        <v>46326</v>
      </c>
      <c r="F616" t="inlineStr">
        <is>
          <t>NORRBOTTENS LÄN</t>
        </is>
      </c>
      <c r="G616" t="inlineStr">
        <is>
          <t>KALIX</t>
        </is>
      </c>
      <c r="I616" t="n">
        <v>16.5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1658-2023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45061</v>
      </c>
      <c r="E617" s="1" t="n">
        <v>46326</v>
      </c>
      <c r="F617" t="inlineStr">
        <is>
          <t>NORRBOTTENS LÄN</t>
        </is>
      </c>
      <c r="G617" t="inlineStr">
        <is>
          <t>KALIX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157-2023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44944</v>
      </c>
      <c r="E618" s="1" t="n">
        <v>46326</v>
      </c>
      <c r="F618" t="inlineStr">
        <is>
          <t>NORRBOTTENS LÄN</t>
        </is>
      </c>
      <c r="G618" t="inlineStr">
        <is>
          <t>KALIX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1139-2024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45393</v>
      </c>
      <c r="E619" s="1" t="n">
        <v>46326</v>
      </c>
      <c r="F619" t="inlineStr">
        <is>
          <t>NORRBOTTENS LÄN</t>
        </is>
      </c>
      <c r="G619" t="inlineStr">
        <is>
          <t>KALIX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1659-2023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45061</v>
      </c>
      <c r="E620" s="1" t="n">
        <v>46326</v>
      </c>
      <c r="F620" t="inlineStr">
        <is>
          <t>NORRBOTTENS LÄN</t>
        </is>
      </c>
      <c r="G620" t="inlineStr">
        <is>
          <t>KALIX</t>
        </is>
      </c>
      <c r="I620" t="n">
        <v>17.1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1131-2024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45393</v>
      </c>
      <c r="E621" s="1" t="n">
        <v>46326</v>
      </c>
      <c r="F621" t="inlineStr">
        <is>
          <t>NORRBOTTENS LÄN</t>
        </is>
      </c>
      <c r="G621" t="inlineStr">
        <is>
          <t>KALIX</t>
        </is>
      </c>
      <c r="I621" t="n">
        <v>12.6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1656-2023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45061</v>
      </c>
      <c r="E622" s="1" t="n">
        <v>46326</v>
      </c>
      <c r="F622" t="inlineStr">
        <is>
          <t>NORRBOTTENS LÄN</t>
        </is>
      </c>
      <c r="G622" t="inlineStr">
        <is>
          <t>KALIX</t>
        </is>
      </c>
      <c r="I622" t="n">
        <v>12.6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961-2024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45383</v>
      </c>
      <c r="E623" s="1" t="n">
        <v>46326</v>
      </c>
      <c r="F623" t="inlineStr">
        <is>
          <t>NORRBOTTENS LÄN</t>
        </is>
      </c>
      <c r="G623" t="inlineStr">
        <is>
          <t>KALIX</t>
        </is>
      </c>
      <c r="H623" t="inlineStr">
        <is>
          <t>Sveaskog</t>
        </is>
      </c>
      <c r="I623" t="n">
        <v>9.9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849-2025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45733</v>
      </c>
      <c r="E624" s="1" t="n">
        <v>46326</v>
      </c>
      <c r="F624" t="inlineStr">
        <is>
          <t>NORRBOTTENS LÄN</t>
        </is>
      </c>
      <c r="G624" t="inlineStr">
        <is>
          <t>KALIX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1018-2025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45747</v>
      </c>
      <c r="E625" s="1" t="n">
        <v>46326</v>
      </c>
      <c r="F625" t="inlineStr">
        <is>
          <t>NORRBOTTENS LÄN</t>
        </is>
      </c>
      <c r="G625" t="inlineStr">
        <is>
          <t>KALIX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1019-2025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45747</v>
      </c>
      <c r="E626" s="1" t="n">
        <v>46326</v>
      </c>
      <c r="F626" t="inlineStr">
        <is>
          <t>NORRBOTTENS LÄN</t>
        </is>
      </c>
      <c r="G626" t="inlineStr">
        <is>
          <t>KALIX</t>
        </is>
      </c>
      <c r="I626" t="n">
        <v>6.9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1176-2025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45756</v>
      </c>
      <c r="E627" s="1" t="n">
        <v>46326</v>
      </c>
      <c r="F627" t="inlineStr">
        <is>
          <t>NORRBOTTENS LÄN</t>
        </is>
      </c>
      <c r="G627" t="inlineStr">
        <is>
          <t>KALIX</t>
        </is>
      </c>
      <c r="I627" t="n">
        <v>17.6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1356-2025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45775</v>
      </c>
      <c r="E628" s="1" t="n">
        <v>46326</v>
      </c>
      <c r="F628" t="inlineStr">
        <is>
          <t>NORRBOTTENS LÄN</t>
        </is>
      </c>
      <c r="G628" t="inlineStr">
        <is>
          <t>KALIX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1355-2025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45775</v>
      </c>
      <c r="E629" s="1" t="n">
        <v>46326</v>
      </c>
      <c r="F629" t="inlineStr">
        <is>
          <t>NORRBOTTENS LÄN</t>
        </is>
      </c>
      <c r="G629" t="inlineStr">
        <is>
          <t>KALIX</t>
        </is>
      </c>
      <c r="I629" t="n">
        <v>36.9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1493-2026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46162</v>
      </c>
      <c r="E630" s="1" t="n">
        <v>46326</v>
      </c>
      <c r="F630" t="inlineStr">
        <is>
          <t>NORRBOTTENS LÄN</t>
        </is>
      </c>
      <c r="G630" t="inlineStr">
        <is>
          <t>KALIX</t>
        </is>
      </c>
      <c r="I630" t="n">
        <v>13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1798-2026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46190</v>
      </c>
      <c r="E631" s="1" t="n">
        <v>46326</v>
      </c>
      <c r="F631" t="inlineStr">
        <is>
          <t>NORRBOTTENS LÄN</t>
        </is>
      </c>
      <c r="G631" t="inlineStr">
        <is>
          <t>KALIX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1797-2026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46190</v>
      </c>
      <c r="E632" s="1" t="n">
        <v>46326</v>
      </c>
      <c r="F632" t="inlineStr">
        <is>
          <t>NORRBOTTENS LÄN</t>
        </is>
      </c>
      <c r="G632" t="inlineStr">
        <is>
          <t>KALIX</t>
        </is>
      </c>
      <c r="I632" t="n">
        <v>17.6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2026-10-31T03:24:41Z</dcterms:created>
  <dcterms:modified xmlns:dcterms="http://purl.org/dc/terms/" xmlns:xsi="http://www.w3.org/2001/XMLSchema-instance" xsi:type="dcterms:W3CDTF">2026-10-31T03:24:41Z</dcterms:modified>
</cp:coreProperties>
</file>