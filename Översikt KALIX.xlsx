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46263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46263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46263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46263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46263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46263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46263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46263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46263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46263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46263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46263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46263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46263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Tibast
Äkta lopplummer</t>
        </is>
      </c>
      <c r="W17">
        <f>HYPERLINK("https://klasma.github.io/Logging_2514/artfynd/A 62537-2023 artfynd.xlsx", "A 62537-2023")</f>
        <v/>
      </c>
      <c r="X17">
        <f>HYPERLINK("https://klasma.github.io/Logging_2514/kartor/A 62537-2023 karta.png", "A 62537-2023")</f>
        <v/>
      </c>
      <c r="Y17">
        <f>HYPERLINK("https://klasma.github.io/Logging_2514/kartor_geotiff/A 62537-2023 georefererad karta.tif", "A 62537-2023")</f>
        <v/>
      </c>
      <c r="AA17">
        <f>HYPERLINK("https://klasma.github.io/Logging_2514/klagomål/A 62537-2023 FSC-klagomål.docx", "A 62537-2023")</f>
        <v/>
      </c>
      <c r="AB17">
        <f>HYPERLINK("https://klasma.github.io/Logging_2514/klagomålsmail/A 62537-2023 FSC-klagomål mail.docx", "A 62537-2023")</f>
        <v/>
      </c>
      <c r="AC17">
        <f>HYPERLINK("https://klasma.github.io/Logging_2514/tillsyn/A 62537-2023 tillsynsbegäran.docx", "A 62537-2023")</f>
        <v/>
      </c>
      <c r="AD17">
        <f>HYPERLINK("https://klasma.github.io/Logging_2514/tillsynsmail/A 62537-2023 tillsynsbegäran mail.docx", "A 62537-2023")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46263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46263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46263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46263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46263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46263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46152-2021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44442</v>
      </c>
      <c r="E27" s="1" t="n">
        <v>46263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Garnlav</t>
        </is>
      </c>
      <c r="W27">
        <f>HYPERLINK("https://klasma.github.io/Logging_2514/artfynd/A 46152-2021 artfynd.xlsx", "A 46152-2021")</f>
        <v/>
      </c>
      <c r="X27">
        <f>HYPERLINK("https://klasma.github.io/Logging_2514/kartor/A 46152-2021 karta.png", "A 46152-2021")</f>
        <v/>
      </c>
      <c r="Y27">
        <f>HYPERLINK("https://klasma.github.io/Logging_2514/kartor_geotiff/A 46152-2021 georefererad karta.tif", "A 46152-2021")</f>
        <v/>
      </c>
      <c r="AA27">
        <f>HYPERLINK("https://klasma.github.io/Logging_2514/klagomål/A 46152-2021 FSC-klagomål.docx", "A 46152-2021")</f>
        <v/>
      </c>
      <c r="AB27">
        <f>HYPERLINK("https://klasma.github.io/Logging_2514/klagomålsmail/A 46152-2021 FSC-klagomål mail.docx", "A 46152-2021")</f>
        <v/>
      </c>
      <c r="AC27">
        <f>HYPERLINK("https://klasma.github.io/Logging_2514/tillsyn/A 46152-2021 tillsynsbegäran.docx", "A 46152-2021")</f>
        <v/>
      </c>
      <c r="AD27">
        <f>HYPERLINK("https://klasma.github.io/Logging_2514/tillsynsmail/A 46152-2021 tillsynsbegäran mail.docx", "A 46152-2021")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46263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Guckusko</t>
        </is>
      </c>
      <c r="W28">
        <f>HYPERLINK("https://klasma.github.io/Logging_2514/artfynd/A 3387-2023 artfynd.xlsx", "A 3387-2023")</f>
        <v/>
      </c>
      <c r="X28">
        <f>HYPERLINK("https://klasma.github.io/Logging_2514/kartor/A 3387-2023 karta.png", "A 3387-2023")</f>
        <v/>
      </c>
      <c r="Y28">
        <f>HYPERLINK("https://klasma.github.io/Logging_2514/kartor_geotiff/A 3387-2023 georefererad karta.tif", "A 3387-2023")</f>
        <v/>
      </c>
      <c r="AA28">
        <f>HYPERLINK("https://klasma.github.io/Logging_2514/klagomål/A 3387-2023 FSC-klagomål.docx", "A 3387-2023")</f>
        <v/>
      </c>
      <c r="AB28">
        <f>HYPERLINK("https://klasma.github.io/Logging_2514/klagomålsmail/A 3387-2023 FSC-klagomål mail.docx", "A 3387-2023")</f>
        <v/>
      </c>
      <c r="AC28">
        <f>HYPERLINK("https://klasma.github.io/Logging_2514/tillsyn/A 3387-2023 tillsynsbegäran.docx", "A 3387-2023")</f>
        <v/>
      </c>
      <c r="AD28">
        <f>HYPERLINK("https://klasma.github.io/Logging_2514/tillsynsmail/A 3387-2023 tillsynsbegäran mail.docx", "A 3387-2023")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46263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46263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46263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46263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46263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46263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46263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46263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46263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46263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46263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46263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46263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46263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46263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46263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46263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46263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46263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46263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46263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46263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46263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46263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46263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46263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46263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46263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46263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46263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46263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46263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46263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46263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46263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46263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46263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46263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46263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44816</v>
      </c>
      <c r="E68" s="1" t="n">
        <v>46263</v>
      </c>
      <c r="F68" t="inlineStr">
        <is>
          <t>NORRBOTTENS LÄN</t>
        </is>
      </c>
      <c r="G68" t="inlineStr">
        <is>
          <t>KALIX</t>
        </is>
      </c>
      <c r="H68" t="inlineStr">
        <is>
          <t>Kommuner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46263</v>
      </c>
      <c r="F69" t="inlineStr">
        <is>
          <t>NORRBOTTENS LÄN</t>
        </is>
      </c>
      <c r="G69" t="inlineStr">
        <is>
          <t>KALIX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46263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46263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46263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46263</v>
      </c>
      <c r="F73" t="inlineStr">
        <is>
          <t>NORRBOTTENS LÄN</t>
        </is>
      </c>
      <c r="G73" t="inlineStr">
        <is>
          <t>KALIX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45952</v>
      </c>
      <c r="E74" s="1" t="n">
        <v>46263</v>
      </c>
      <c r="F74" t="inlineStr">
        <is>
          <t>NORRBOTTENS LÄN</t>
        </is>
      </c>
      <c r="G74" t="inlineStr">
        <is>
          <t>KALIX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21875-2025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45784</v>
      </c>
      <c r="E75" s="1" t="n">
        <v>46263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46263</v>
      </c>
      <c r="F76" t="inlineStr">
        <is>
          <t>NORRBOTTENS LÄN</t>
        </is>
      </c>
      <c r="G76" t="inlineStr">
        <is>
          <t>KALIX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46263</v>
      </c>
      <c r="F77" t="inlineStr">
        <is>
          <t>NORRBOTTENS LÄN</t>
        </is>
      </c>
      <c r="G77" t="inlineStr">
        <is>
          <t>KALIX</t>
        </is>
      </c>
      <c r="I77" t="n">
        <v>13.5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46263</v>
      </c>
      <c r="F78" t="inlineStr">
        <is>
          <t>NORRBOTTENS LÄN</t>
        </is>
      </c>
      <c r="G78" t="inlineStr">
        <is>
          <t>KALIX</t>
        </is>
      </c>
      <c r="H78" t="inlineStr">
        <is>
          <t>SCA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46263</v>
      </c>
      <c r="F79" t="inlineStr">
        <is>
          <t>NORRBOTTENS LÄN</t>
        </is>
      </c>
      <c r="G79" t="inlineStr">
        <is>
          <t>KALIX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46263</v>
      </c>
      <c r="F80" t="inlineStr">
        <is>
          <t>NORRBOTTENS LÄN</t>
        </is>
      </c>
      <c r="G80" t="inlineStr">
        <is>
          <t>KALIX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46263</v>
      </c>
      <c r="F81" t="inlineStr">
        <is>
          <t>NORRBOTTENS LÄN</t>
        </is>
      </c>
      <c r="G81" t="inlineStr">
        <is>
          <t>KALIX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69202-2021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46263</v>
      </c>
      <c r="F82" t="inlineStr">
        <is>
          <t>NORRBOTTENS LÄN</t>
        </is>
      </c>
      <c r="G82" t="inlineStr">
        <is>
          <t>KALIX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46263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46263</v>
      </c>
      <c r="F84" t="inlineStr">
        <is>
          <t>NORRBOTTENS LÄN</t>
        </is>
      </c>
      <c r="G84" t="inlineStr">
        <is>
          <t>KALIX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46263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46263</v>
      </c>
      <c r="F86" t="inlineStr">
        <is>
          <t>NORRBOTTENS LÄN</t>
        </is>
      </c>
      <c r="G86" t="inlineStr">
        <is>
          <t>KALIX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46263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46263</v>
      </c>
      <c r="F88" t="inlineStr">
        <is>
          <t>NORRBOTTENS LÄN</t>
        </is>
      </c>
      <c r="G88" t="inlineStr">
        <is>
          <t>KALIX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45429</v>
      </c>
      <c r="E89" s="1" t="n">
        <v>46263</v>
      </c>
      <c r="F89" t="inlineStr">
        <is>
          <t>NORRBOTTENS LÄN</t>
        </is>
      </c>
      <c r="G89" t="inlineStr">
        <is>
          <t>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46263</v>
      </c>
      <c r="F90" t="inlineStr">
        <is>
          <t>NORRBOTTENS LÄN</t>
        </is>
      </c>
      <c r="G90" t="inlineStr">
        <is>
          <t>KALIX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46263</v>
      </c>
      <c r="F91" t="inlineStr">
        <is>
          <t>NORRBOTTENS LÄN</t>
        </is>
      </c>
      <c r="G91" t="inlineStr">
        <is>
          <t>KALIX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45238</v>
      </c>
      <c r="E92" s="1" t="n">
        <v>46263</v>
      </c>
      <c r="F92" t="inlineStr">
        <is>
          <t>NORRBOTTENS LÄN</t>
        </is>
      </c>
      <c r="G92" t="inlineStr">
        <is>
          <t>KALIX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46263</v>
      </c>
      <c r="F93" t="inlineStr">
        <is>
          <t>NORRBOTTENS LÄN</t>
        </is>
      </c>
      <c r="G93" t="inlineStr">
        <is>
          <t>KALIX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46263</v>
      </c>
      <c r="F94" t="inlineStr">
        <is>
          <t>NORRBOTTENS LÄN</t>
        </is>
      </c>
      <c r="G94" t="inlineStr">
        <is>
          <t>KALIX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46263</v>
      </c>
      <c r="F95" t="inlineStr">
        <is>
          <t>NORRBOTTENS LÄN</t>
        </is>
      </c>
      <c r="G95" t="inlineStr">
        <is>
          <t>KALIX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57513-2023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45243</v>
      </c>
      <c r="E96" s="1" t="n">
        <v>46263</v>
      </c>
      <c r="F96" t="inlineStr">
        <is>
          <t>NORRBOTTENS LÄN</t>
        </is>
      </c>
      <c r="G96" t="inlineStr">
        <is>
          <t>KALIX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60955-2022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44907</v>
      </c>
      <c r="E97" s="1" t="n">
        <v>46263</v>
      </c>
      <c r="F97" t="inlineStr">
        <is>
          <t>NORRBOTTENS LÄN</t>
        </is>
      </c>
      <c r="G97" t="inlineStr">
        <is>
          <t>KALIX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46263</v>
      </c>
      <c r="F98" t="inlineStr">
        <is>
          <t>NORRBOTTENS LÄN</t>
        </is>
      </c>
      <c r="G98" t="inlineStr">
        <is>
          <t>KALIX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46263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46263</v>
      </c>
      <c r="F100" t="inlineStr">
        <is>
          <t>NORRBOTTENS LÄN</t>
        </is>
      </c>
      <c r="G100" t="inlineStr">
        <is>
          <t>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39958-2025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45892</v>
      </c>
      <c r="E101" s="1" t="n">
        <v>46263</v>
      </c>
      <c r="F101" t="inlineStr">
        <is>
          <t>NORRBOTTENS LÄN</t>
        </is>
      </c>
      <c r="G101" t="inlineStr">
        <is>
          <t>KALIX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46263</v>
      </c>
      <c r="F102" t="inlineStr">
        <is>
          <t>NORRBOTTENS LÄN</t>
        </is>
      </c>
      <c r="G102" t="inlineStr">
        <is>
          <t>KALIX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46263</v>
      </c>
      <c r="F103" t="inlineStr">
        <is>
          <t>NORRBOTTENS LÄN</t>
        </is>
      </c>
      <c r="G103" t="inlineStr">
        <is>
          <t>KALIX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46263</v>
      </c>
      <c r="F104" t="inlineStr">
        <is>
          <t>NORRBOTTENS LÄN</t>
        </is>
      </c>
      <c r="G104" t="inlineStr">
        <is>
          <t>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46263</v>
      </c>
      <c r="F105" t="inlineStr">
        <is>
          <t>NORRBOTTENS LÄN</t>
        </is>
      </c>
      <c r="G105" t="inlineStr">
        <is>
          <t>KALIX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45971</v>
      </c>
      <c r="E106" s="1" t="n">
        <v>46263</v>
      </c>
      <c r="F106" t="inlineStr">
        <is>
          <t>NORRBOTTENS LÄN</t>
        </is>
      </c>
      <c r="G106" t="inlineStr">
        <is>
          <t>KALIX</t>
        </is>
      </c>
      <c r="I106" t="n">
        <v>13.9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55415-2025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46263</v>
      </c>
      <c r="F107" t="inlineStr">
        <is>
          <t>NORRBOTTENS LÄN</t>
        </is>
      </c>
      <c r="G107" t="inlineStr">
        <is>
          <t>KALIX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46263</v>
      </c>
      <c r="F108" t="inlineStr">
        <is>
          <t>NORRBOTTENS LÄN</t>
        </is>
      </c>
      <c r="G108" t="inlineStr">
        <is>
          <t>KALIX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46263</v>
      </c>
      <c r="F109" t="inlineStr">
        <is>
          <t>NORRBOTTENS LÄN</t>
        </is>
      </c>
      <c r="G109" t="inlineStr">
        <is>
          <t>KALIX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46263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46263</v>
      </c>
      <c r="F111" t="inlineStr">
        <is>
          <t>NORRBOTTENS LÄN</t>
        </is>
      </c>
      <c r="G111" t="inlineStr">
        <is>
          <t>KALIX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46263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46263</v>
      </c>
      <c r="F113" t="inlineStr">
        <is>
          <t>NORRBOTTENS LÄN</t>
        </is>
      </c>
      <c r="G113" t="inlineStr">
        <is>
          <t>KALIX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46263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45906</v>
      </c>
      <c r="E115" s="1" t="n">
        <v>46263</v>
      </c>
      <c r="F115" t="inlineStr">
        <is>
          <t>NORRBOTTENS LÄN</t>
        </is>
      </c>
      <c r="G115" t="inlineStr">
        <is>
          <t>KALIX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46263</v>
      </c>
      <c r="F116" t="inlineStr">
        <is>
          <t>NORRBOTTENS LÄN</t>
        </is>
      </c>
      <c r="G116" t="inlineStr">
        <is>
          <t>KALIX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46263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66739-2021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44520</v>
      </c>
      <c r="E118" s="1" t="n">
        <v>46263</v>
      </c>
      <c r="F118" t="inlineStr">
        <is>
          <t>NORRBOTTENS LÄN</t>
        </is>
      </c>
      <c r="G118" t="inlineStr">
        <is>
          <t>KALIX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46263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44239-2025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46263</v>
      </c>
      <c r="F120" t="inlineStr">
        <is>
          <t>NORRBOTTENS LÄN</t>
        </is>
      </c>
      <c r="G120" t="inlineStr">
        <is>
          <t>KALIX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46263</v>
      </c>
      <c r="F121" t="inlineStr">
        <is>
          <t>NORRBOTTENS LÄN</t>
        </is>
      </c>
      <c r="G121" t="inlineStr">
        <is>
          <t>KALIX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44350-2025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45916</v>
      </c>
      <c r="E122" s="1" t="n">
        <v>46263</v>
      </c>
      <c r="F122" t="inlineStr">
        <is>
          <t>NORRBOTTENS LÄN</t>
        </is>
      </c>
      <c r="G122" t="inlineStr">
        <is>
          <t>KALIX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46263</v>
      </c>
      <c r="F123" t="inlineStr">
        <is>
          <t>NORRBOTTENS LÄN</t>
        </is>
      </c>
      <c r="G123" t="inlineStr">
        <is>
          <t>KALIX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46263</v>
      </c>
      <c r="F124" t="inlineStr">
        <is>
          <t>NORRBOTTENS LÄN</t>
        </is>
      </c>
      <c r="G124" t="inlineStr">
        <is>
          <t>KALIX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46263</v>
      </c>
      <c r="F125" t="inlineStr">
        <is>
          <t>NORRBOTTENS LÄN</t>
        </is>
      </c>
      <c r="G125" t="inlineStr">
        <is>
          <t>KALIX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46263</v>
      </c>
      <c r="F126" t="inlineStr">
        <is>
          <t>NORRBOTTENS LÄN</t>
        </is>
      </c>
      <c r="G126" t="inlineStr">
        <is>
          <t>KALIX</t>
        </is>
      </c>
      <c r="I126" t="n">
        <v>23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46263</v>
      </c>
      <c r="F127" t="inlineStr">
        <is>
          <t>NORRBOTTENS LÄN</t>
        </is>
      </c>
      <c r="G127" t="inlineStr">
        <is>
          <t>KALIX</t>
        </is>
      </c>
      <c r="H127" t="inlineStr">
        <is>
          <t>SCA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46263</v>
      </c>
      <c r="F128" t="inlineStr">
        <is>
          <t>NORRBOTTENS LÄN</t>
        </is>
      </c>
      <c r="G128" t="inlineStr">
        <is>
          <t>KALIX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46263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46263</v>
      </c>
      <c r="F130" t="inlineStr">
        <is>
          <t>NORRBOTTENS LÄN</t>
        </is>
      </c>
      <c r="G130" t="inlineStr">
        <is>
          <t>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46263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44924</v>
      </c>
      <c r="E132" s="1" t="n">
        <v>46263</v>
      </c>
      <c r="F132" t="inlineStr">
        <is>
          <t>NORRBOTTENS LÄN</t>
        </is>
      </c>
      <c r="G132" t="inlineStr">
        <is>
          <t>KALIX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45799</v>
      </c>
      <c r="E133" s="1" t="n">
        <v>46263</v>
      </c>
      <c r="F133" t="inlineStr">
        <is>
          <t>NORRBOTTENS LÄN</t>
        </is>
      </c>
      <c r="G133" t="inlineStr">
        <is>
          <t>KALIX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46263</v>
      </c>
      <c r="F134" t="inlineStr">
        <is>
          <t>NORRBOTTENS LÄN</t>
        </is>
      </c>
      <c r="G134" t="inlineStr">
        <is>
          <t>KALIX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45681</v>
      </c>
      <c r="E135" s="1" t="n">
        <v>46263</v>
      </c>
      <c r="F135" t="inlineStr">
        <is>
          <t>NORRBOTTENS LÄN</t>
        </is>
      </c>
      <c r="G135" t="inlineStr">
        <is>
          <t>KALIX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46263</v>
      </c>
      <c r="F136" t="inlineStr">
        <is>
          <t>NORRBOTTENS LÄN</t>
        </is>
      </c>
      <c r="G136" t="inlineStr">
        <is>
          <t>KALIX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46263</v>
      </c>
      <c r="F137" t="inlineStr">
        <is>
          <t>NORRBOTTENS LÄN</t>
        </is>
      </c>
      <c r="G137" t="inlineStr">
        <is>
          <t>KALIX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46263</v>
      </c>
      <c r="F138" t="inlineStr">
        <is>
          <t>NORRBOTTENS LÄN</t>
        </is>
      </c>
      <c r="G138" t="inlineStr">
        <is>
          <t>KALIX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46263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46263</v>
      </c>
      <c r="F140" t="inlineStr">
        <is>
          <t>NORRBOTTENS LÄN</t>
        </is>
      </c>
      <c r="G140" t="inlineStr">
        <is>
          <t>KALIX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46263</v>
      </c>
      <c r="F141" t="inlineStr">
        <is>
          <t>NORRBOTTENS LÄN</t>
        </is>
      </c>
      <c r="G141" t="inlineStr">
        <is>
          <t>KALIX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46263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46263</v>
      </c>
      <c r="F143" t="inlineStr">
        <is>
          <t>NORRBOTTENS LÄN</t>
        </is>
      </c>
      <c r="G143" t="inlineStr">
        <is>
          <t>KALIX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68438-2021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46263</v>
      </c>
      <c r="F144" t="inlineStr">
        <is>
          <t>NORRBOTTENS LÄN</t>
        </is>
      </c>
      <c r="G144" t="inlineStr">
        <is>
          <t>KALIX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46263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46263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46263</v>
      </c>
      <c r="F147" t="inlineStr">
        <is>
          <t>NORRBOTTENS LÄN</t>
        </is>
      </c>
      <c r="G147" t="inlineStr">
        <is>
          <t>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46263</v>
      </c>
      <c r="F148" t="inlineStr">
        <is>
          <t>NORRBOTTENS LÄN</t>
        </is>
      </c>
      <c r="G148" t="inlineStr">
        <is>
          <t>KALIX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46263</v>
      </c>
      <c r="F149" t="inlineStr">
        <is>
          <t>NORRBOTTENS LÄN</t>
        </is>
      </c>
      <c r="G149" t="inlineStr">
        <is>
          <t>KALIX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46263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46263</v>
      </c>
      <c r="F151" t="inlineStr">
        <is>
          <t>NORRBOTTENS LÄN</t>
        </is>
      </c>
      <c r="G151" t="inlineStr">
        <is>
          <t>KALIX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46263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46263</v>
      </c>
      <c r="F153" t="inlineStr">
        <is>
          <t>NORRBOTTENS LÄN</t>
        </is>
      </c>
      <c r="G153" t="inlineStr">
        <is>
          <t>KALIX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46263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46263</v>
      </c>
      <c r="F155" t="inlineStr">
        <is>
          <t>NORRBOTTENS LÄN</t>
        </is>
      </c>
      <c r="G155" t="inlineStr">
        <is>
          <t>KALIX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46263</v>
      </c>
      <c r="F156" t="inlineStr">
        <is>
          <t>NORRBOTTENS LÄN</t>
        </is>
      </c>
      <c r="G156" t="inlineStr">
        <is>
          <t>KALIX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46263</v>
      </c>
      <c r="F157" t="inlineStr">
        <is>
          <t>NORRBOTTENS LÄN</t>
        </is>
      </c>
      <c r="G157" t="inlineStr">
        <is>
          <t>KALIX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46263</v>
      </c>
      <c r="F158" t="inlineStr">
        <is>
          <t>NORRBOTTENS LÄN</t>
        </is>
      </c>
      <c r="G158" t="inlineStr">
        <is>
          <t>KALIX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47983-2025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45932</v>
      </c>
      <c r="E159" s="1" t="n">
        <v>46263</v>
      </c>
      <c r="F159" t="inlineStr">
        <is>
          <t>NORRBOTTENS LÄN</t>
        </is>
      </c>
      <c r="G159" t="inlineStr">
        <is>
          <t>KALIX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46263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46263</v>
      </c>
      <c r="F161" t="inlineStr">
        <is>
          <t>NORRBOTTENS LÄN</t>
        </is>
      </c>
      <c r="G161" t="inlineStr">
        <is>
          <t>KALIX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44894</v>
      </c>
      <c r="E162" s="1" t="n">
        <v>46263</v>
      </c>
      <c r="F162" t="inlineStr">
        <is>
          <t>NORRBOTTENS LÄN</t>
        </is>
      </c>
      <c r="G162" t="inlineStr">
        <is>
          <t>KALIX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46263</v>
      </c>
      <c r="F163" t="inlineStr">
        <is>
          <t>NORRBOTTENS LÄN</t>
        </is>
      </c>
      <c r="G163" t="inlineStr">
        <is>
          <t>KALIX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46263</v>
      </c>
      <c r="F164" t="inlineStr">
        <is>
          <t>NORRBOTTENS LÄN</t>
        </is>
      </c>
      <c r="G164" t="inlineStr">
        <is>
          <t>KALIX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46263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46263</v>
      </c>
      <c r="F166" t="inlineStr">
        <is>
          <t>NORRBOTTENS LÄN</t>
        </is>
      </c>
      <c r="G166" t="inlineStr">
        <is>
          <t>KALIX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46263</v>
      </c>
      <c r="F167" t="inlineStr">
        <is>
          <t>NORRBOTTENS LÄN</t>
        </is>
      </c>
      <c r="G167" t="inlineStr">
        <is>
          <t>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46263</v>
      </c>
      <c r="F168" t="inlineStr">
        <is>
          <t>NORRBOTTENS LÄN</t>
        </is>
      </c>
      <c r="G168" t="inlineStr">
        <is>
          <t>KALIX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46263</v>
      </c>
      <c r="F169" t="inlineStr">
        <is>
          <t>NORRBOTTENS LÄN</t>
        </is>
      </c>
      <c r="G169" t="inlineStr">
        <is>
          <t>KALIX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46263</v>
      </c>
      <c r="F170" t="inlineStr">
        <is>
          <t>NORRBOTTENS LÄN</t>
        </is>
      </c>
      <c r="G170" t="inlineStr">
        <is>
          <t>KALIX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46263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46263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46263</v>
      </c>
      <c r="F173" t="inlineStr">
        <is>
          <t>NORRBOTTENS LÄN</t>
        </is>
      </c>
      <c r="G173" t="inlineStr">
        <is>
          <t>KALIX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46263</v>
      </c>
      <c r="F174" t="inlineStr">
        <is>
          <t>NORRBOTTENS LÄN</t>
        </is>
      </c>
      <c r="G174" t="inlineStr">
        <is>
          <t>KALIX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46263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46263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46263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46263</v>
      </c>
      <c r="F178" t="inlineStr">
        <is>
          <t>NORRBOTTENS LÄN</t>
        </is>
      </c>
      <c r="G178" t="inlineStr">
        <is>
          <t>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45816</v>
      </c>
      <c r="E179" s="1" t="n">
        <v>46263</v>
      </c>
      <c r="F179" t="inlineStr">
        <is>
          <t>NORRBOTTENS LÄN</t>
        </is>
      </c>
      <c r="G179" t="inlineStr">
        <is>
          <t>KALIX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46263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46263</v>
      </c>
      <c r="F181" t="inlineStr">
        <is>
          <t>NORRBOTTENS LÄN</t>
        </is>
      </c>
      <c r="G181" t="inlineStr">
        <is>
          <t>KALIX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45815</v>
      </c>
      <c r="E182" s="1" t="n">
        <v>46263</v>
      </c>
      <c r="F182" t="inlineStr">
        <is>
          <t>NORRBOTTENS LÄN</t>
        </is>
      </c>
      <c r="G182" t="inlineStr">
        <is>
          <t>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45815</v>
      </c>
      <c r="E183" s="1" t="n">
        <v>46263</v>
      </c>
      <c r="F183" t="inlineStr">
        <is>
          <t>NORRBOTTENS LÄN</t>
        </is>
      </c>
      <c r="G183" t="inlineStr">
        <is>
          <t>KALIX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45816</v>
      </c>
      <c r="E184" s="1" t="n">
        <v>46263</v>
      </c>
      <c r="F184" t="inlineStr">
        <is>
          <t>NORRBOTTENS LÄN</t>
        </is>
      </c>
      <c r="G184" t="inlineStr">
        <is>
          <t>KALIX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45816</v>
      </c>
      <c r="E185" s="1" t="n">
        <v>46263</v>
      </c>
      <c r="F185" t="inlineStr">
        <is>
          <t>NORRBOTTENS LÄN</t>
        </is>
      </c>
      <c r="G185" t="inlineStr">
        <is>
          <t>KALIX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45816</v>
      </c>
      <c r="E186" s="1" t="n">
        <v>46263</v>
      </c>
      <c r="F186" t="inlineStr">
        <is>
          <t>NORRBOTTENS LÄN</t>
        </is>
      </c>
      <c r="G186" t="inlineStr">
        <is>
          <t>KALIX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46263</v>
      </c>
      <c r="F187" t="inlineStr">
        <is>
          <t>NORRBOTTENS LÄN</t>
        </is>
      </c>
      <c r="G187" t="inlineStr">
        <is>
          <t>KALIX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45815</v>
      </c>
      <c r="E188" s="1" t="n">
        <v>46263</v>
      </c>
      <c r="F188" t="inlineStr">
        <is>
          <t>NORRBOTTENS LÄN</t>
        </is>
      </c>
      <c r="G188" t="inlineStr">
        <is>
          <t>KALIX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45815</v>
      </c>
      <c r="E189" s="1" t="n">
        <v>46263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45816</v>
      </c>
      <c r="E190" s="1" t="n">
        <v>46263</v>
      </c>
      <c r="F190" t="inlineStr">
        <is>
          <t>NORRBOTTENS LÄN</t>
        </is>
      </c>
      <c r="G190" t="inlineStr">
        <is>
          <t>KALIX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45816</v>
      </c>
      <c r="E191" s="1" t="n">
        <v>46263</v>
      </c>
      <c r="F191" t="inlineStr">
        <is>
          <t>NORRBOTTENS LÄN</t>
        </is>
      </c>
      <c r="G191" t="inlineStr">
        <is>
          <t>KALIX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45816</v>
      </c>
      <c r="E192" s="1" t="n">
        <v>46263</v>
      </c>
      <c r="F192" t="inlineStr">
        <is>
          <t>NORRBOTTENS LÄN</t>
        </is>
      </c>
      <c r="G192" t="inlineStr">
        <is>
          <t>KALIX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45815</v>
      </c>
      <c r="E193" s="1" t="n">
        <v>46263</v>
      </c>
      <c r="F193" t="inlineStr">
        <is>
          <t>NORRBOTTENS LÄN</t>
        </is>
      </c>
      <c r="G193" t="inlineStr">
        <is>
          <t>KALIX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45816</v>
      </c>
      <c r="E194" s="1" t="n">
        <v>46263</v>
      </c>
      <c r="F194" t="inlineStr">
        <is>
          <t>NORRBOTTENS LÄN</t>
        </is>
      </c>
      <c r="G194" t="inlineStr">
        <is>
          <t>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45816</v>
      </c>
      <c r="E195" s="1" t="n">
        <v>46263</v>
      </c>
      <c r="F195" t="inlineStr">
        <is>
          <t>NORRBOTTENS LÄN</t>
        </is>
      </c>
      <c r="G195" t="inlineStr">
        <is>
          <t>KALIX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46263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45816</v>
      </c>
      <c r="E197" s="1" t="n">
        <v>46263</v>
      </c>
      <c r="F197" t="inlineStr">
        <is>
          <t>NORRBOTTENS LÄN</t>
        </is>
      </c>
      <c r="G197" t="inlineStr">
        <is>
          <t>KALIX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45816</v>
      </c>
      <c r="E198" s="1" t="n">
        <v>46263</v>
      </c>
      <c r="F198" t="inlineStr">
        <is>
          <t>NORRBOTTENS LÄN</t>
        </is>
      </c>
      <c r="G198" t="inlineStr">
        <is>
          <t>KALIX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45816</v>
      </c>
      <c r="E199" s="1" t="n">
        <v>46263</v>
      </c>
      <c r="F199" t="inlineStr">
        <is>
          <t>NORRBOTTENS LÄN</t>
        </is>
      </c>
      <c r="G199" t="inlineStr">
        <is>
          <t>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45816</v>
      </c>
      <c r="E200" s="1" t="n">
        <v>46263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45816</v>
      </c>
      <c r="E201" s="1" t="n">
        <v>46263</v>
      </c>
      <c r="F201" t="inlineStr">
        <is>
          <t>NORRBOTTENS LÄN</t>
        </is>
      </c>
      <c r="G201" t="inlineStr">
        <is>
          <t>KALIX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45816</v>
      </c>
      <c r="E202" s="1" t="n">
        <v>46263</v>
      </c>
      <c r="F202" t="inlineStr">
        <is>
          <t>NORRBOTTENS LÄN</t>
        </is>
      </c>
      <c r="G202" t="inlineStr">
        <is>
          <t>KALIX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45816</v>
      </c>
      <c r="E203" s="1" t="n">
        <v>46263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45816</v>
      </c>
      <c r="E204" s="1" t="n">
        <v>46263</v>
      </c>
      <c r="F204" t="inlineStr">
        <is>
          <t>NORRBOTTENS LÄN</t>
        </is>
      </c>
      <c r="G204" t="inlineStr">
        <is>
          <t>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46263</v>
      </c>
      <c r="F205" t="inlineStr">
        <is>
          <t>NORRBOTTENS LÄN</t>
        </is>
      </c>
      <c r="G205" t="inlineStr">
        <is>
          <t>KALIX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46263</v>
      </c>
      <c r="F206" t="inlineStr">
        <is>
          <t>NORRBOTTENS LÄN</t>
        </is>
      </c>
      <c r="G206" t="inlineStr">
        <is>
          <t>KALIX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49662-2025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46263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45816</v>
      </c>
      <c r="E208" s="1" t="n">
        <v>46263</v>
      </c>
      <c r="F208" t="inlineStr">
        <is>
          <t>NORRBOTTENS LÄN</t>
        </is>
      </c>
      <c r="G208" t="inlineStr">
        <is>
          <t>KALIX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45816</v>
      </c>
      <c r="E209" s="1" t="n">
        <v>46263</v>
      </c>
      <c r="F209" t="inlineStr">
        <is>
          <t>NORRBOTTENS LÄN</t>
        </is>
      </c>
      <c r="G209" t="inlineStr">
        <is>
          <t>KALIX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45816</v>
      </c>
      <c r="E210" s="1" t="n">
        <v>46263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45816</v>
      </c>
      <c r="E211" s="1" t="n">
        <v>46263</v>
      </c>
      <c r="F211" t="inlineStr">
        <is>
          <t>NORRBOTTENS LÄN</t>
        </is>
      </c>
      <c r="G211" t="inlineStr">
        <is>
          <t>KALIX</t>
        </is>
      </c>
      <c r="I211" t="n">
        <v>18.4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46263</v>
      </c>
      <c r="F212" t="inlineStr">
        <is>
          <t>NORRBOTTENS LÄN</t>
        </is>
      </c>
      <c r="G212" t="inlineStr">
        <is>
          <t>KALIX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46263</v>
      </c>
      <c r="F213" t="inlineStr">
        <is>
          <t>NORRBOTTENS LÄN</t>
        </is>
      </c>
      <c r="G213" t="inlineStr">
        <is>
          <t>KALIX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46263</v>
      </c>
      <c r="F214" t="inlineStr">
        <is>
          <t>NORRBOTTENS LÄN</t>
        </is>
      </c>
      <c r="G214" t="inlineStr">
        <is>
          <t>KALIX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46263</v>
      </c>
      <c r="F215" t="inlineStr">
        <is>
          <t>NORRBOTTENS LÄN</t>
        </is>
      </c>
      <c r="G215" t="inlineStr">
        <is>
          <t>KALIX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46263</v>
      </c>
      <c r="F216" t="inlineStr">
        <is>
          <t>NORRBOTTENS LÄN</t>
        </is>
      </c>
      <c r="G216" t="inlineStr">
        <is>
          <t>KALIX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46263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46263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46263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46263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46752-2024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45583</v>
      </c>
      <c r="E221" s="1" t="n">
        <v>46263</v>
      </c>
      <c r="F221" t="inlineStr">
        <is>
          <t>NORRBOTTENS LÄN</t>
        </is>
      </c>
      <c r="G221" t="inlineStr">
        <is>
          <t>KALIX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46263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46263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46263</v>
      </c>
      <c r="F224" t="inlineStr">
        <is>
          <t>NORRBOTTENS LÄN</t>
        </is>
      </c>
      <c r="G224" t="inlineStr">
        <is>
          <t>KALIX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46263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46263</v>
      </c>
      <c r="F226" t="inlineStr">
        <is>
          <t>NORRBOTTENS LÄN</t>
        </is>
      </c>
      <c r="G226" t="inlineStr">
        <is>
          <t>KALIX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46263</v>
      </c>
      <c r="F227" t="inlineStr">
        <is>
          <t>NORRBOTTENS LÄN</t>
        </is>
      </c>
      <c r="G227" t="inlineStr">
        <is>
          <t>KALIX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46263</v>
      </c>
      <c r="F228" t="inlineStr">
        <is>
          <t>NORRBOTTENS LÄN</t>
        </is>
      </c>
      <c r="G228" t="inlineStr">
        <is>
          <t>KALIX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46263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46263</v>
      </c>
      <c r="F230" t="inlineStr">
        <is>
          <t>NORRBOTTENS LÄN</t>
        </is>
      </c>
      <c r="G230" t="inlineStr">
        <is>
          <t>KALIX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46263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44603</v>
      </c>
      <c r="E232" s="1" t="n">
        <v>46263</v>
      </c>
      <c r="F232" t="inlineStr">
        <is>
          <t>NORRBOTTENS LÄN</t>
        </is>
      </c>
      <c r="G232" t="inlineStr">
        <is>
          <t>KALIX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46263</v>
      </c>
      <c r="F233" t="inlineStr">
        <is>
          <t>NORRBOTTENS LÄN</t>
        </is>
      </c>
      <c r="G233" t="inlineStr">
        <is>
          <t>KALIX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46263</v>
      </c>
      <c r="F234" t="inlineStr">
        <is>
          <t>NORRBOTTENS LÄN</t>
        </is>
      </c>
      <c r="G234" t="inlineStr">
        <is>
          <t>KALIX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46263</v>
      </c>
      <c r="F235" t="inlineStr">
        <is>
          <t>NORRBOTTENS LÄN</t>
        </is>
      </c>
      <c r="G235" t="inlineStr">
        <is>
          <t>KALIX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46263</v>
      </c>
      <c r="F236" t="inlineStr">
        <is>
          <t>NORRBOTTENS LÄN</t>
        </is>
      </c>
      <c r="G236" t="inlineStr">
        <is>
          <t>KALIX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46263</v>
      </c>
      <c r="F237" t="inlineStr">
        <is>
          <t>NORRBOTTENS LÄN</t>
        </is>
      </c>
      <c r="G237" t="inlineStr">
        <is>
          <t>KALIX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46263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46263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46263</v>
      </c>
      <c r="F240" t="inlineStr">
        <is>
          <t>NORRBOTTENS LÄN</t>
        </is>
      </c>
      <c r="G240" t="inlineStr">
        <is>
          <t>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46263</v>
      </c>
      <c r="F241" t="inlineStr">
        <is>
          <t>NORRBOTTENS LÄN</t>
        </is>
      </c>
      <c r="G241" t="inlineStr">
        <is>
          <t>KALIX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46263</v>
      </c>
      <c r="F242" t="inlineStr">
        <is>
          <t>NORRBOTTENS LÄN</t>
        </is>
      </c>
      <c r="G242" t="inlineStr">
        <is>
          <t>KALIX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46263</v>
      </c>
      <c r="F243" t="inlineStr">
        <is>
          <t>NORRBOTTENS LÄN</t>
        </is>
      </c>
      <c r="G243" t="inlineStr">
        <is>
          <t>KALIX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46263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51787-2025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46263</v>
      </c>
      <c r="F245" t="inlineStr">
        <is>
          <t>NORRBOTTENS LÄN</t>
        </is>
      </c>
      <c r="G245" t="inlineStr">
        <is>
          <t>KALIX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46263</v>
      </c>
      <c r="F246" t="inlineStr">
        <is>
          <t>NORRBOTTENS LÄN</t>
        </is>
      </c>
      <c r="G246" t="inlineStr">
        <is>
          <t>KALIX</t>
        </is>
      </c>
      <c r="I246" t="n">
        <v>10.6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58991-2023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46263</v>
      </c>
      <c r="F247" t="inlineStr">
        <is>
          <t>NORRBOTTENS LÄN</t>
        </is>
      </c>
      <c r="G247" t="inlineStr">
        <is>
          <t>KALIX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46263</v>
      </c>
      <c r="F248" t="inlineStr">
        <is>
          <t>NORRBOTTENS LÄN</t>
        </is>
      </c>
      <c r="G248" t="inlineStr">
        <is>
          <t>KALIX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46263</v>
      </c>
      <c r="F249" t="inlineStr">
        <is>
          <t>NORRBOTTENS LÄN</t>
        </is>
      </c>
      <c r="G249" t="inlineStr">
        <is>
          <t>KALIX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46263</v>
      </c>
      <c r="F250" t="inlineStr">
        <is>
          <t>NORRBOTTENS LÄN</t>
        </is>
      </c>
      <c r="G250" t="inlineStr">
        <is>
          <t>KALIX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46263</v>
      </c>
      <c r="F251" t="inlineStr">
        <is>
          <t>NORRBOTTENS LÄN</t>
        </is>
      </c>
      <c r="G251" t="inlineStr">
        <is>
          <t>KALIX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46263</v>
      </c>
      <c r="F252" t="inlineStr">
        <is>
          <t>NORRBOTTENS LÄN</t>
        </is>
      </c>
      <c r="G252" t="inlineStr">
        <is>
          <t>KALIX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46263</v>
      </c>
      <c r="F253" t="inlineStr">
        <is>
          <t>NORRBOTTENS LÄN</t>
        </is>
      </c>
      <c r="G253" t="inlineStr">
        <is>
          <t>KALIX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46263</v>
      </c>
      <c r="F254" t="inlineStr">
        <is>
          <t>NORRBOTTENS LÄN</t>
        </is>
      </c>
      <c r="G254" t="inlineStr">
        <is>
          <t>KALIX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46263</v>
      </c>
      <c r="F255" t="inlineStr">
        <is>
          <t>NORRBOTTENS LÄN</t>
        </is>
      </c>
      <c r="G255" t="inlineStr">
        <is>
          <t>KALIX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46263</v>
      </c>
      <c r="F256" t="inlineStr">
        <is>
          <t>NORRBOTTENS LÄN</t>
        </is>
      </c>
      <c r="G256" t="inlineStr">
        <is>
          <t>KALIX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46263</v>
      </c>
      <c r="F257" t="inlineStr">
        <is>
          <t>NORRBOTTENS LÄN</t>
        </is>
      </c>
      <c r="G257" t="inlineStr">
        <is>
          <t>KALIX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46263</v>
      </c>
      <c r="F258" t="inlineStr">
        <is>
          <t>NORRBOTTENS LÄN</t>
        </is>
      </c>
      <c r="G258" t="inlineStr">
        <is>
          <t>KALIX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46263</v>
      </c>
      <c r="F259" t="inlineStr">
        <is>
          <t>NORRBOTTENS LÄN</t>
        </is>
      </c>
      <c r="G259" t="inlineStr">
        <is>
          <t>KALIX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46263</v>
      </c>
      <c r="F260" t="inlineStr">
        <is>
          <t>NORRBOTTENS LÄN</t>
        </is>
      </c>
      <c r="G260" t="inlineStr">
        <is>
          <t>KALIX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46263</v>
      </c>
      <c r="F261" t="inlineStr">
        <is>
          <t>NORRBOTTENS LÄN</t>
        </is>
      </c>
      <c r="G261" t="inlineStr">
        <is>
          <t>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46263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46263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44776</v>
      </c>
      <c r="E264" s="1" t="n">
        <v>46263</v>
      </c>
      <c r="F264" t="inlineStr">
        <is>
          <t>NORRBOTTENS LÄN</t>
        </is>
      </c>
      <c r="G264" t="inlineStr">
        <is>
          <t>KALIX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44445</v>
      </c>
      <c r="E265" s="1" t="n">
        <v>46263</v>
      </c>
      <c r="F265" t="inlineStr">
        <is>
          <t>NORRBOTTENS LÄN</t>
        </is>
      </c>
      <c r="G265" t="inlineStr">
        <is>
          <t>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46263</v>
      </c>
      <c r="F266" t="inlineStr">
        <is>
          <t>NORRBOTTENS LÄN</t>
        </is>
      </c>
      <c r="G266" t="inlineStr">
        <is>
          <t>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46263</v>
      </c>
      <c r="F267" t="inlineStr">
        <is>
          <t>NORRBOTTENS LÄN</t>
        </is>
      </c>
      <c r="G267" t="inlineStr">
        <is>
          <t>KALIX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46263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46263</v>
      </c>
      <c r="F269" t="inlineStr">
        <is>
          <t>NORRBOTTENS LÄN</t>
        </is>
      </c>
      <c r="G269" t="inlineStr">
        <is>
          <t>KALIX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46263</v>
      </c>
      <c r="F270" t="inlineStr">
        <is>
          <t>NORRBOTTENS LÄN</t>
        </is>
      </c>
      <c r="G270" t="inlineStr">
        <is>
          <t>KALIX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46263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45851</v>
      </c>
      <c r="E272" s="1" t="n">
        <v>46263</v>
      </c>
      <c r="F272" t="inlineStr">
        <is>
          <t>NORRBOTTENS LÄN</t>
        </is>
      </c>
      <c r="G272" t="inlineStr">
        <is>
          <t>KALIX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45420</v>
      </c>
      <c r="E273" s="1" t="n">
        <v>46263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45295</v>
      </c>
      <c r="E274" s="1" t="n">
        <v>46263</v>
      </c>
      <c r="F274" t="inlineStr">
        <is>
          <t>NORRBOTTENS LÄN</t>
        </is>
      </c>
      <c r="G274" t="inlineStr">
        <is>
          <t>KALIX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46263</v>
      </c>
      <c r="F275" t="inlineStr">
        <is>
          <t>NORRBOTTENS LÄN</t>
        </is>
      </c>
      <c r="G275" t="inlineStr">
        <is>
          <t>KALIX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46263</v>
      </c>
      <c r="F276" t="inlineStr">
        <is>
          <t>NORRBOTTENS LÄN</t>
        </is>
      </c>
      <c r="G276" t="inlineStr">
        <is>
          <t>KALIX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46263</v>
      </c>
      <c r="F277" t="inlineStr">
        <is>
          <t>NORRBOTTENS LÄN</t>
        </is>
      </c>
      <c r="G277" t="inlineStr">
        <is>
          <t>KALIX</t>
        </is>
      </c>
      <c r="H277" t="inlineStr">
        <is>
          <t>Sveaskog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45867</v>
      </c>
      <c r="E278" s="1" t="n">
        <v>46263</v>
      </c>
      <c r="F278" t="inlineStr">
        <is>
          <t>NORRBOTTENS LÄN</t>
        </is>
      </c>
      <c r="G278" t="inlineStr">
        <is>
          <t>KALIX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46263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45859</v>
      </c>
      <c r="E280" s="1" t="n">
        <v>46263</v>
      </c>
      <c r="F280" t="inlineStr">
        <is>
          <t>NORRBOTTENS LÄN</t>
        </is>
      </c>
      <c r="G280" t="inlineStr">
        <is>
          <t>KALIX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46263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44512</v>
      </c>
      <c r="E282" s="1" t="n">
        <v>46263</v>
      </c>
      <c r="F282" t="inlineStr">
        <is>
          <t>NORRBOTTENS LÄN</t>
        </is>
      </c>
      <c r="G282" t="inlineStr">
        <is>
          <t>KALIX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46263</v>
      </c>
      <c r="F283" t="inlineStr">
        <is>
          <t>NORRBOTTENS LÄN</t>
        </is>
      </c>
      <c r="G283" t="inlineStr">
        <is>
          <t>KALIX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46263</v>
      </c>
      <c r="F284" t="inlineStr">
        <is>
          <t>NORRBOTTENS LÄN</t>
        </is>
      </c>
      <c r="G284" t="inlineStr">
        <is>
          <t>KALIX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46263</v>
      </c>
      <c r="F285" t="inlineStr">
        <is>
          <t>NORRBOTTENS LÄN</t>
        </is>
      </c>
      <c r="G285" t="inlineStr">
        <is>
          <t>KALIX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46263</v>
      </c>
      <c r="F286" t="inlineStr">
        <is>
          <t>NORRBOTTENS LÄN</t>
        </is>
      </c>
      <c r="G286" t="inlineStr">
        <is>
          <t>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57117-2024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45629</v>
      </c>
      <c r="E287" s="1" t="n">
        <v>46263</v>
      </c>
      <c r="F287" t="inlineStr">
        <is>
          <t>NORRBOTTENS LÄN</t>
        </is>
      </c>
      <c r="G287" t="inlineStr">
        <is>
          <t>KALIX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25019-2024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45461</v>
      </c>
      <c r="E288" s="1" t="n">
        <v>46263</v>
      </c>
      <c r="F288" t="inlineStr">
        <is>
          <t>NORRBOTTENS LÄN</t>
        </is>
      </c>
      <c r="G288" t="inlineStr">
        <is>
          <t>KALIX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46263</v>
      </c>
      <c r="F289" t="inlineStr">
        <is>
          <t>NORRBOTTENS LÄN</t>
        </is>
      </c>
      <c r="G289" t="inlineStr">
        <is>
          <t>KALIX</t>
        </is>
      </c>
      <c r="I289" t="n">
        <v>13.9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46263</v>
      </c>
      <c r="F290" t="inlineStr">
        <is>
          <t>NORRBOTTENS LÄN</t>
        </is>
      </c>
      <c r="G290" t="inlineStr">
        <is>
          <t>KALIX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46263</v>
      </c>
      <c r="F291" t="inlineStr">
        <is>
          <t>NORRBOTTENS LÄN</t>
        </is>
      </c>
      <c r="G291" t="inlineStr">
        <is>
          <t>KALIX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45723</v>
      </c>
      <c r="E292" s="1" t="n">
        <v>46263</v>
      </c>
      <c r="F292" t="inlineStr">
        <is>
          <t>NORRBOTTENS LÄN</t>
        </is>
      </c>
      <c r="G292" t="inlineStr">
        <is>
          <t>KALIX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46263</v>
      </c>
      <c r="F293" t="inlineStr">
        <is>
          <t>NORRBOTTENS LÄN</t>
        </is>
      </c>
      <c r="G293" t="inlineStr">
        <is>
          <t>KALIX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46263</v>
      </c>
      <c r="F294" t="inlineStr">
        <is>
          <t>NORRBOTTENS LÄN</t>
        </is>
      </c>
      <c r="G294" t="inlineStr">
        <is>
          <t>KALIX</t>
        </is>
      </c>
      <c r="I294" t="n">
        <v>12.1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46263</v>
      </c>
      <c r="F295" t="inlineStr">
        <is>
          <t>NORRBOTTENS LÄN</t>
        </is>
      </c>
      <c r="G295" t="inlineStr">
        <is>
          <t>KALIX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46263</v>
      </c>
      <c r="F296" t="inlineStr">
        <is>
          <t>NORRBOTTENS LÄN</t>
        </is>
      </c>
      <c r="G296" t="inlineStr">
        <is>
          <t>KALIX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46263</v>
      </c>
      <c r="F297" t="inlineStr">
        <is>
          <t>NORRBOTTENS LÄN</t>
        </is>
      </c>
      <c r="G297" t="inlineStr">
        <is>
          <t>KALIX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46263</v>
      </c>
      <c r="F298" t="inlineStr">
        <is>
          <t>NORRBOTTENS LÄN</t>
        </is>
      </c>
      <c r="G298" t="inlineStr">
        <is>
          <t>KALIX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46263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11.2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46263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46263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46013</v>
      </c>
      <c r="E302" s="1" t="n">
        <v>46263</v>
      </c>
      <c r="F302" t="inlineStr">
        <is>
          <t>NORRBOTTENS LÄN</t>
        </is>
      </c>
      <c r="G302" t="inlineStr">
        <is>
          <t>KALIX</t>
        </is>
      </c>
      <c r="H302" t="inlineStr">
        <is>
          <t>Kommuner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46263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46263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64031-2025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46021</v>
      </c>
      <c r="E305" s="1" t="n">
        <v>46263</v>
      </c>
      <c r="F305" t="inlineStr">
        <is>
          <t>NORRBOTTENS LÄN</t>
        </is>
      </c>
      <c r="G305" t="inlineStr">
        <is>
          <t>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46263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46263</v>
      </c>
      <c r="F307" t="inlineStr">
        <is>
          <t>NORRBOTTENS LÄN</t>
        </is>
      </c>
      <c r="G307" t="inlineStr">
        <is>
          <t>KALIX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46263</v>
      </c>
      <c r="F308" t="inlineStr">
        <is>
          <t>NORRBOTTENS LÄN</t>
        </is>
      </c>
      <c r="G308" t="inlineStr">
        <is>
          <t>KALIX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45201</v>
      </c>
      <c r="E309" s="1" t="n">
        <v>46263</v>
      </c>
      <c r="F309" t="inlineStr">
        <is>
          <t>NORRBOTTENS LÄN</t>
        </is>
      </c>
      <c r="G309" t="inlineStr">
        <is>
          <t>KALIX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45044</v>
      </c>
      <c r="E310" s="1" t="n">
        <v>46263</v>
      </c>
      <c r="F310" t="inlineStr">
        <is>
          <t>NORRBOTTENS LÄN</t>
        </is>
      </c>
      <c r="G310" t="inlineStr">
        <is>
          <t>KALIX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46263</v>
      </c>
      <c r="F311" t="inlineStr">
        <is>
          <t>NORRBOTTENS LÄN</t>
        </is>
      </c>
      <c r="G311" t="inlineStr">
        <is>
          <t>KALIX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54296-2024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45617</v>
      </c>
      <c r="E312" s="1" t="n">
        <v>46263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46263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58392-2021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44488</v>
      </c>
      <c r="E314" s="1" t="n">
        <v>46263</v>
      </c>
      <c r="F314" t="inlineStr">
        <is>
          <t>NORRBOTTENS LÄN</t>
        </is>
      </c>
      <c r="G314" t="inlineStr">
        <is>
          <t>KALIX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46263</v>
      </c>
      <c r="F315" t="inlineStr">
        <is>
          <t>NORRBOTTENS LÄN</t>
        </is>
      </c>
      <c r="G315" t="inlineStr">
        <is>
          <t>KALIX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46263</v>
      </c>
      <c r="F316" t="inlineStr">
        <is>
          <t>NORRBOTTENS LÄN</t>
        </is>
      </c>
      <c r="G316" t="inlineStr">
        <is>
          <t>KALIX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46263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46263</v>
      </c>
      <c r="F318" t="inlineStr">
        <is>
          <t>NORRBOTTENS LÄN</t>
        </is>
      </c>
      <c r="G318" t="inlineStr">
        <is>
          <t>KALIX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46263</v>
      </c>
      <c r="F319" t="inlineStr">
        <is>
          <t>NORRBOTTENS LÄN</t>
        </is>
      </c>
      <c r="G319" t="inlineStr">
        <is>
          <t>KALIX</t>
        </is>
      </c>
      <c r="I319" t="n">
        <v>11.9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46263</v>
      </c>
      <c r="F320" t="inlineStr">
        <is>
          <t>NORRBOTTENS LÄN</t>
        </is>
      </c>
      <c r="G320" t="inlineStr">
        <is>
          <t>KALIX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46263</v>
      </c>
      <c r="F321" t="inlineStr">
        <is>
          <t>NORRBOTTENS LÄN</t>
        </is>
      </c>
      <c r="G321" t="inlineStr">
        <is>
          <t>KALIX</t>
        </is>
      </c>
      <c r="I321" t="n">
        <v>17.7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46263</v>
      </c>
      <c r="F322" t="inlineStr">
        <is>
          <t>NORRBOTTENS LÄN</t>
        </is>
      </c>
      <c r="G322" t="inlineStr">
        <is>
          <t>KALIX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44733</v>
      </c>
      <c r="E323" s="1" t="n">
        <v>46263</v>
      </c>
      <c r="F323" t="inlineStr">
        <is>
          <t>NORRBOTTENS LÄN</t>
        </is>
      </c>
      <c r="G323" t="inlineStr">
        <is>
          <t>KALIX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46263</v>
      </c>
      <c r="F324" t="inlineStr">
        <is>
          <t>NORRBOTTENS LÄN</t>
        </is>
      </c>
      <c r="G324" t="inlineStr">
        <is>
          <t>KALIX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46263</v>
      </c>
      <c r="F325" t="inlineStr">
        <is>
          <t>NORRBOTTENS LÄN</t>
        </is>
      </c>
      <c r="G325" t="inlineStr">
        <is>
          <t>KALIX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46263</v>
      </c>
      <c r="F326" t="inlineStr">
        <is>
          <t>NORRBOTTENS LÄN</t>
        </is>
      </c>
      <c r="G326" t="inlineStr">
        <is>
          <t>KALIX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46263</v>
      </c>
      <c r="F327" t="inlineStr">
        <is>
          <t>NORRBOTTENS LÄN</t>
        </is>
      </c>
      <c r="G327" t="inlineStr">
        <is>
          <t>KALIX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46263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46263</v>
      </c>
      <c r="F329" t="inlineStr">
        <is>
          <t>NORRBOTTENS LÄN</t>
        </is>
      </c>
      <c r="G329" t="inlineStr">
        <is>
          <t>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46263</v>
      </c>
      <c r="F330" t="inlineStr">
        <is>
          <t>NORRBOTTENS LÄN</t>
        </is>
      </c>
      <c r="G330" t="inlineStr">
        <is>
          <t>KALIX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46263</v>
      </c>
      <c r="F331" t="inlineStr">
        <is>
          <t>NORRBOTTENS LÄN</t>
        </is>
      </c>
      <c r="G331" t="inlineStr">
        <is>
          <t>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46263</v>
      </c>
      <c r="F332" t="inlineStr">
        <is>
          <t>NORRBOTTENS LÄN</t>
        </is>
      </c>
      <c r="G332" t="inlineStr">
        <is>
          <t>KALIX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46263</v>
      </c>
      <c r="F333" t="inlineStr">
        <is>
          <t>NORRBOTTENS LÄN</t>
        </is>
      </c>
      <c r="G333" t="inlineStr">
        <is>
          <t>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46263</v>
      </c>
      <c r="F334" t="inlineStr">
        <is>
          <t>NORRBOTTENS LÄN</t>
        </is>
      </c>
      <c r="G334" t="inlineStr">
        <is>
          <t>KALIX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46263</v>
      </c>
      <c r="F335" t="inlineStr">
        <is>
          <t>NORRBOTTENS LÄN</t>
        </is>
      </c>
      <c r="G335" t="inlineStr">
        <is>
          <t>KALIX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46187-2021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44442</v>
      </c>
      <c r="E336" s="1" t="n">
        <v>46263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46263</v>
      </c>
      <c r="F337" t="inlineStr">
        <is>
          <t>NORRBOTTENS LÄN</t>
        </is>
      </c>
      <c r="G337" t="inlineStr">
        <is>
          <t>KALIX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46263</v>
      </c>
      <c r="F338" t="inlineStr">
        <is>
          <t>NORRBOTTENS LÄN</t>
        </is>
      </c>
      <c r="G338" t="inlineStr">
        <is>
          <t>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46263</v>
      </c>
      <c r="F339" t="inlineStr">
        <is>
          <t>NORRBOTTENS LÄN</t>
        </is>
      </c>
      <c r="G339" t="inlineStr">
        <is>
          <t>KALIX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46263</v>
      </c>
      <c r="F340" t="inlineStr">
        <is>
          <t>NORRBOTTENS LÄN</t>
        </is>
      </c>
      <c r="G340" t="inlineStr">
        <is>
          <t>KALIX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46263</v>
      </c>
      <c r="F341" t="inlineStr">
        <is>
          <t>NORRBOTTENS LÄN</t>
        </is>
      </c>
      <c r="G341" t="inlineStr">
        <is>
          <t>KALIX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46263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46263</v>
      </c>
      <c r="F343" t="inlineStr">
        <is>
          <t>NORRBOTTENS LÄN</t>
        </is>
      </c>
      <c r="G343" t="inlineStr">
        <is>
          <t>KALIX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46263</v>
      </c>
      <c r="F344" t="inlineStr">
        <is>
          <t>NORRBOTTENS LÄN</t>
        </is>
      </c>
      <c r="G344" t="inlineStr">
        <is>
          <t>KALIX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45295</v>
      </c>
      <c r="E345" s="1" t="n">
        <v>46263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45406</v>
      </c>
      <c r="E346" s="1" t="n">
        <v>46263</v>
      </c>
      <c r="F346" t="inlineStr">
        <is>
          <t>NORRBOTTENS LÄN</t>
        </is>
      </c>
      <c r="G346" t="inlineStr">
        <is>
          <t>KALIX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46263</v>
      </c>
      <c r="F347" t="inlineStr">
        <is>
          <t>NORRBOTTENS LÄN</t>
        </is>
      </c>
      <c r="G347" t="inlineStr">
        <is>
          <t>KALIX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46263</v>
      </c>
      <c r="F348" t="inlineStr">
        <is>
          <t>NORRBOTTENS LÄN</t>
        </is>
      </c>
      <c r="G348" t="inlineStr">
        <is>
          <t>KALIX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44901</v>
      </c>
      <c r="E349" s="1" t="n">
        <v>46263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46263</v>
      </c>
      <c r="F350" t="inlineStr">
        <is>
          <t>NORRBOTTENS LÄN</t>
        </is>
      </c>
      <c r="G350" t="inlineStr">
        <is>
          <t>KALIX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44992</v>
      </c>
      <c r="E351" s="1" t="n">
        <v>46263</v>
      </c>
      <c r="F351" t="inlineStr">
        <is>
          <t>NORRBOTTENS LÄN</t>
        </is>
      </c>
      <c r="G351" t="inlineStr">
        <is>
          <t>KALIX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62139-2023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45266</v>
      </c>
      <c r="E352" s="1" t="n">
        <v>46263</v>
      </c>
      <c r="F352" t="inlineStr">
        <is>
          <t>NORRBOTTENS LÄN</t>
        </is>
      </c>
      <c r="G352" t="inlineStr">
        <is>
          <t>KALIX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46263</v>
      </c>
      <c r="F353" t="inlineStr">
        <is>
          <t>NORRBOTTENS LÄN</t>
        </is>
      </c>
      <c r="G353" t="inlineStr">
        <is>
          <t>KALIX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57939-2023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45247</v>
      </c>
      <c r="E354" s="1" t="n">
        <v>46263</v>
      </c>
      <c r="F354" t="inlineStr">
        <is>
          <t>NORRBOTTENS LÄN</t>
        </is>
      </c>
      <c r="G354" t="inlineStr">
        <is>
          <t>KALIX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46263</v>
      </c>
      <c r="F355" t="inlineStr">
        <is>
          <t>NORRBOTTENS LÄN</t>
        </is>
      </c>
      <c r="G355" t="inlineStr">
        <is>
          <t>KALIX</t>
        </is>
      </c>
      <c r="H355" t="inlineStr">
        <is>
          <t>Sveaskog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69886-2021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46263</v>
      </c>
      <c r="F356" t="inlineStr">
        <is>
          <t>NORRBOTTENS LÄN</t>
        </is>
      </c>
      <c r="G356" t="inlineStr">
        <is>
          <t>KALIX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46263</v>
      </c>
      <c r="F357" t="inlineStr">
        <is>
          <t>NORRBOTTENS LÄN</t>
        </is>
      </c>
      <c r="G357" t="inlineStr">
        <is>
          <t>KALIX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46263</v>
      </c>
      <c r="F358" t="inlineStr">
        <is>
          <t>NORRBOTTENS LÄN</t>
        </is>
      </c>
      <c r="G358" t="inlineStr">
        <is>
          <t>KALIX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46263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45573</v>
      </c>
      <c r="E360" s="1" t="n">
        <v>46263</v>
      </c>
      <c r="F360" t="inlineStr">
        <is>
          <t>NORRBOTTENS LÄN</t>
        </is>
      </c>
      <c r="G360" t="inlineStr">
        <is>
          <t>KALIX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45457</v>
      </c>
      <c r="E361" s="1" t="n">
        <v>46263</v>
      </c>
      <c r="F361" t="inlineStr">
        <is>
          <t>NORRBOTTENS LÄN</t>
        </is>
      </c>
      <c r="G361" t="inlineStr">
        <is>
          <t>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45602</v>
      </c>
      <c r="E362" s="1" t="n">
        <v>46263</v>
      </c>
      <c r="F362" t="inlineStr">
        <is>
          <t>NORRBOTTENS LÄN</t>
        </is>
      </c>
      <c r="G362" t="inlineStr">
        <is>
          <t>KALIX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46263</v>
      </c>
      <c r="F363" t="inlineStr">
        <is>
          <t>NORRBOTTENS LÄN</t>
        </is>
      </c>
      <c r="G363" t="inlineStr">
        <is>
          <t>KALIX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10547-2026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46077</v>
      </c>
      <c r="E364" s="1" t="n">
        <v>46263</v>
      </c>
      <c r="F364" t="inlineStr">
        <is>
          <t>NORRBOTTENS LÄN</t>
        </is>
      </c>
      <c r="G364" t="inlineStr">
        <is>
          <t>KALIX</t>
        </is>
      </c>
      <c r="I364" t="n">
        <v>16.5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44580</v>
      </c>
      <c r="E365" s="1" t="n">
        <v>46263</v>
      </c>
      <c r="F365" t="inlineStr">
        <is>
          <t>NORRBOTTENS LÄN</t>
        </is>
      </c>
      <c r="G365" t="inlineStr">
        <is>
          <t>KALIX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46263</v>
      </c>
      <c r="F366" t="inlineStr">
        <is>
          <t>NORRBOTTENS LÄN</t>
        </is>
      </c>
      <c r="G366" t="inlineStr">
        <is>
          <t>KALIX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67004-2021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44522</v>
      </c>
      <c r="E367" s="1" t="n">
        <v>46263</v>
      </c>
      <c r="F367" t="inlineStr">
        <is>
          <t>NORRBOTTENS LÄN</t>
        </is>
      </c>
      <c r="G367" t="inlineStr">
        <is>
          <t>KALIX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46263</v>
      </c>
      <c r="F368" t="inlineStr">
        <is>
          <t>NORRBOTTENS LÄN</t>
        </is>
      </c>
      <c r="G368" t="inlineStr">
        <is>
          <t>KALIX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46263</v>
      </c>
      <c r="F369" t="inlineStr">
        <is>
          <t>NORRBOTTENS LÄN</t>
        </is>
      </c>
      <c r="G369" t="inlineStr">
        <is>
          <t>KALIX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16732-2025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45754</v>
      </c>
      <c r="E370" s="1" t="n">
        <v>46263</v>
      </c>
      <c r="F370" t="inlineStr">
        <is>
          <t>NORRBOTTENS LÄN</t>
        </is>
      </c>
      <c r="G370" t="inlineStr">
        <is>
          <t>KALIX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46955-2024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45585</v>
      </c>
      <c r="E371" s="1" t="n">
        <v>46263</v>
      </c>
      <c r="F371" t="inlineStr">
        <is>
          <t>NORRBOTTENS LÄN</t>
        </is>
      </c>
      <c r="G371" t="inlineStr">
        <is>
          <t>KALIX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46263</v>
      </c>
      <c r="F372" t="inlineStr">
        <is>
          <t>NORRBOTTENS LÄN</t>
        </is>
      </c>
      <c r="G372" t="inlineStr">
        <is>
          <t>KALIX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45470</v>
      </c>
      <c r="E373" s="1" t="n">
        <v>46263</v>
      </c>
      <c r="F373" t="inlineStr">
        <is>
          <t>NORRBOTTENS LÄN</t>
        </is>
      </c>
      <c r="G373" t="inlineStr">
        <is>
          <t>KALIX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46263</v>
      </c>
      <c r="F374" t="inlineStr">
        <is>
          <t>NORRBOTTENS LÄN</t>
        </is>
      </c>
      <c r="G374" t="inlineStr">
        <is>
          <t>KALIX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46263</v>
      </c>
      <c r="F375" t="inlineStr">
        <is>
          <t>NORRBOTTENS LÄN</t>
        </is>
      </c>
      <c r="G375" t="inlineStr">
        <is>
          <t>KALIX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45719</v>
      </c>
      <c r="E376" s="1" t="n">
        <v>46263</v>
      </c>
      <c r="F376" t="inlineStr">
        <is>
          <t>NORRBOTTENS LÄN</t>
        </is>
      </c>
      <c r="G376" t="inlineStr">
        <is>
          <t>KALIX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46263</v>
      </c>
      <c r="F377" t="inlineStr">
        <is>
          <t>NORRBOTTENS LÄN</t>
        </is>
      </c>
      <c r="G377" t="inlineStr">
        <is>
          <t>KALIX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46263</v>
      </c>
      <c r="F378" t="inlineStr">
        <is>
          <t>NORRBOTTENS LÄN</t>
        </is>
      </c>
      <c r="G378" t="inlineStr">
        <is>
          <t>KALIX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46263</v>
      </c>
      <c r="F379" t="inlineStr">
        <is>
          <t>NORRBOTTENS LÄN</t>
        </is>
      </c>
      <c r="G379" t="inlineStr">
        <is>
          <t>KALIX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46263</v>
      </c>
      <c r="F380" t="inlineStr">
        <is>
          <t>NORRBOTTENS LÄN</t>
        </is>
      </c>
      <c r="G380" t="inlineStr">
        <is>
          <t>KALIX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46263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46263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13537-2022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44648</v>
      </c>
      <c r="E383" s="1" t="n">
        <v>46263</v>
      </c>
      <c r="F383" t="inlineStr">
        <is>
          <t>NORRBOTTENS LÄN</t>
        </is>
      </c>
      <c r="G383" t="inlineStr">
        <is>
          <t>KALIX</t>
        </is>
      </c>
      <c r="H383" t="inlineStr">
        <is>
          <t>BillerudKorsnäs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46263</v>
      </c>
      <c r="F384" t="inlineStr">
        <is>
          <t>NORRBOTTENS LÄN</t>
        </is>
      </c>
      <c r="G384" t="inlineStr">
        <is>
          <t>KALIX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46263</v>
      </c>
      <c r="F385" t="inlineStr">
        <is>
          <t>NORRBOTTENS LÄN</t>
        </is>
      </c>
      <c r="G385" t="inlineStr">
        <is>
          <t>KALIX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39003-2023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46263</v>
      </c>
      <c r="F386" t="inlineStr">
        <is>
          <t>NORRBOTTENS LÄN</t>
        </is>
      </c>
      <c r="G386" t="inlineStr">
        <is>
          <t>KALIX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11856-2023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44995</v>
      </c>
      <c r="E387" s="1" t="n">
        <v>46263</v>
      </c>
      <c r="F387" t="inlineStr">
        <is>
          <t>NORRBOTTENS LÄN</t>
        </is>
      </c>
      <c r="G387" t="inlineStr">
        <is>
          <t>KALIX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46263</v>
      </c>
      <c r="F388" t="inlineStr">
        <is>
          <t>NORRBOTTENS LÄN</t>
        </is>
      </c>
      <c r="G388" t="inlineStr">
        <is>
          <t>KALIX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46263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45667</v>
      </c>
      <c r="E390" s="1" t="n">
        <v>46263</v>
      </c>
      <c r="F390" t="inlineStr">
        <is>
          <t>NORRBOTTENS LÄN</t>
        </is>
      </c>
      <c r="G390" t="inlineStr">
        <is>
          <t>KALIX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46263</v>
      </c>
      <c r="F391" t="inlineStr">
        <is>
          <t>NORRBOTTENS LÄN</t>
        </is>
      </c>
      <c r="G391" t="inlineStr">
        <is>
          <t>KALIX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46263</v>
      </c>
      <c r="F392" t="inlineStr">
        <is>
          <t>NORRBOTTENS LÄN</t>
        </is>
      </c>
      <c r="G392" t="inlineStr">
        <is>
          <t>KALIX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46263</v>
      </c>
      <c r="F393" t="inlineStr">
        <is>
          <t>NORRBOTTENS LÄN</t>
        </is>
      </c>
      <c r="G393" t="inlineStr">
        <is>
          <t>KALIX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46263</v>
      </c>
      <c r="F394" t="inlineStr">
        <is>
          <t>NORRBOTTENS LÄN</t>
        </is>
      </c>
      <c r="G394" t="inlineStr">
        <is>
          <t>KALIX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46263</v>
      </c>
      <c r="F395" t="inlineStr">
        <is>
          <t>NORRBOTTENS LÄN</t>
        </is>
      </c>
      <c r="G395" t="inlineStr">
        <is>
          <t>KALIX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45679</v>
      </c>
      <c r="E396" s="1" t="n">
        <v>46263</v>
      </c>
      <c r="F396" t="inlineStr">
        <is>
          <t>NORRBOTTENS LÄN</t>
        </is>
      </c>
      <c r="G396" t="inlineStr">
        <is>
          <t>KALIX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46263</v>
      </c>
      <c r="F397" t="inlineStr">
        <is>
          <t>NORRBOTTENS LÄN</t>
        </is>
      </c>
      <c r="G397" t="inlineStr">
        <is>
          <t>KALIX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44862</v>
      </c>
      <c r="E398" s="1" t="n">
        <v>46263</v>
      </c>
      <c r="F398" t="inlineStr">
        <is>
          <t>NORRBOTTENS LÄN</t>
        </is>
      </c>
      <c r="G398" t="inlineStr">
        <is>
          <t>KALIX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46263</v>
      </c>
      <c r="F399" t="inlineStr">
        <is>
          <t>NORRBOTTENS LÄN</t>
        </is>
      </c>
      <c r="G399" t="inlineStr">
        <is>
          <t>KALIX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45112</v>
      </c>
      <c r="E400" s="1" t="n">
        <v>46263</v>
      </c>
      <c r="F400" t="inlineStr">
        <is>
          <t>NORRBOTTENS LÄN</t>
        </is>
      </c>
      <c r="G400" t="inlineStr">
        <is>
          <t>KALIX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46263</v>
      </c>
      <c r="F401" t="inlineStr">
        <is>
          <t>NORRBOTTENS LÄN</t>
        </is>
      </c>
      <c r="G401" t="inlineStr">
        <is>
          <t>KALIX</t>
        </is>
      </c>
      <c r="H401" t="inlineStr">
        <is>
          <t>SCA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41662-2023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46263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45415</v>
      </c>
      <c r="E403" s="1" t="n">
        <v>46263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45415</v>
      </c>
      <c r="E404" s="1" t="n">
        <v>46263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46263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46263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46263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46263</v>
      </c>
      <c r="F408" t="inlineStr">
        <is>
          <t>NORRBOTTENS LÄN</t>
        </is>
      </c>
      <c r="G408" t="inlineStr">
        <is>
          <t>KALIX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46263</v>
      </c>
      <c r="F409" t="inlineStr">
        <is>
          <t>NORRBOTTENS LÄN</t>
        </is>
      </c>
      <c r="G409" t="inlineStr">
        <is>
          <t>KALIX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46263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46263</v>
      </c>
      <c r="F411" t="inlineStr">
        <is>
          <t>NORRBOTTENS LÄN</t>
        </is>
      </c>
      <c r="G411" t="inlineStr">
        <is>
          <t>KALIX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22480-2024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45446</v>
      </c>
      <c r="E412" s="1" t="n">
        <v>46263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46263</v>
      </c>
      <c r="F413" t="inlineStr">
        <is>
          <t>NORRBOTTENS LÄN</t>
        </is>
      </c>
      <c r="G413" t="inlineStr">
        <is>
          <t>KALIX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46263</v>
      </c>
      <c r="F414" t="inlineStr">
        <is>
          <t>NORRBOTTENS LÄN</t>
        </is>
      </c>
      <c r="G414" t="inlineStr">
        <is>
          <t>KALIX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45314</v>
      </c>
      <c r="E415" s="1" t="n">
        <v>46263</v>
      </c>
      <c r="F415" t="inlineStr">
        <is>
          <t>NORRBOTTENS LÄN</t>
        </is>
      </c>
      <c r="G415" t="inlineStr">
        <is>
          <t>KALIX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46263</v>
      </c>
      <c r="F416" t="inlineStr">
        <is>
          <t>NORRBOTTENS LÄN</t>
        </is>
      </c>
      <c r="G416" t="inlineStr">
        <is>
          <t>KALIX</t>
        </is>
      </c>
      <c r="I416" t="n">
        <v>17.8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45213</v>
      </c>
      <c r="E417" s="1" t="n">
        <v>46263</v>
      </c>
      <c r="F417" t="inlineStr">
        <is>
          <t>NORRBOTTENS LÄN</t>
        </is>
      </c>
      <c r="G417" t="inlineStr">
        <is>
          <t>KALIX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23878-2022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46263</v>
      </c>
      <c r="F418" t="inlineStr">
        <is>
          <t>NORRBOTTENS LÄN</t>
        </is>
      </c>
      <c r="G418" t="inlineStr">
        <is>
          <t>KALIX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44706</v>
      </c>
      <c r="E419" s="1" t="n">
        <v>46263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46263</v>
      </c>
      <c r="F420" t="inlineStr">
        <is>
          <t>NORRBOTTENS LÄN</t>
        </is>
      </c>
      <c r="G420" t="inlineStr">
        <is>
          <t>KALIX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58765-2023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45251</v>
      </c>
      <c r="E421" s="1" t="n">
        <v>46263</v>
      </c>
      <c r="F421" t="inlineStr">
        <is>
          <t>NORRBOTTENS LÄN</t>
        </is>
      </c>
      <c r="G421" t="inlineStr">
        <is>
          <t>KALIX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46263</v>
      </c>
      <c r="F422" t="inlineStr">
        <is>
          <t>NORRBOTTENS LÄN</t>
        </is>
      </c>
      <c r="G422" t="inlineStr">
        <is>
          <t>KALIX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46263</v>
      </c>
      <c r="F423" t="inlineStr">
        <is>
          <t>NORRBOTTENS LÄN</t>
        </is>
      </c>
      <c r="G423" t="inlineStr">
        <is>
          <t>KALIX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46263</v>
      </c>
      <c r="F424" t="inlineStr">
        <is>
          <t>NORRBOTTENS LÄN</t>
        </is>
      </c>
      <c r="G424" t="inlineStr">
        <is>
          <t>KALIX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46263</v>
      </c>
      <c r="F425" t="inlineStr">
        <is>
          <t>NORRBOTTENS LÄN</t>
        </is>
      </c>
      <c r="G425" t="inlineStr">
        <is>
          <t>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46263</v>
      </c>
      <c r="F426" t="inlineStr">
        <is>
          <t>NORRBOTTENS LÄN</t>
        </is>
      </c>
      <c r="G426" t="inlineStr">
        <is>
          <t>KALIX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46263</v>
      </c>
      <c r="F427" t="inlineStr">
        <is>
          <t>NORRBOTTENS LÄN</t>
        </is>
      </c>
      <c r="G427" t="inlineStr">
        <is>
          <t>KALIX</t>
        </is>
      </c>
      <c r="I427" t="n">
        <v>16.9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46263</v>
      </c>
      <c r="F428" t="inlineStr">
        <is>
          <t>NORRBOTTENS LÄN</t>
        </is>
      </c>
      <c r="G428" t="inlineStr">
        <is>
          <t>KALIX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46263</v>
      </c>
      <c r="F429" t="inlineStr">
        <is>
          <t>NORRBOTTENS LÄN</t>
        </is>
      </c>
      <c r="G429" t="inlineStr">
        <is>
          <t>KALIX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9193-2026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46070</v>
      </c>
      <c r="E430" s="1" t="n">
        <v>46263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45282</v>
      </c>
      <c r="E431" s="1" t="n">
        <v>46263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45505</v>
      </c>
      <c r="E432" s="1" t="n">
        <v>46263</v>
      </c>
      <c r="F432" t="inlineStr">
        <is>
          <t>NORRBOTTENS LÄN</t>
        </is>
      </c>
      <c r="G432" t="inlineStr">
        <is>
          <t>KALIX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46263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45302</v>
      </c>
      <c r="E434" s="1" t="n">
        <v>46263</v>
      </c>
      <c r="F434" t="inlineStr">
        <is>
          <t>NORRBOTTENS LÄN</t>
        </is>
      </c>
      <c r="G434" t="inlineStr">
        <is>
          <t>KALIX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62135-2023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45266</v>
      </c>
      <c r="E435" s="1" t="n">
        <v>46263</v>
      </c>
      <c r="F435" t="inlineStr">
        <is>
          <t>NORRBOTTENS LÄN</t>
        </is>
      </c>
      <c r="G435" t="inlineStr">
        <is>
          <t>KALIX</t>
        </is>
      </c>
      <c r="I435" t="n">
        <v>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46263</v>
      </c>
      <c r="F436" t="inlineStr">
        <is>
          <t>NORRBOTTENS LÄN</t>
        </is>
      </c>
      <c r="G436" t="inlineStr">
        <is>
          <t>KALIX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46263</v>
      </c>
      <c r="F437" t="inlineStr">
        <is>
          <t>NORRBOTTENS LÄN</t>
        </is>
      </c>
      <c r="G437" t="inlineStr">
        <is>
          <t>KALIX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45553</v>
      </c>
      <c r="E438" s="1" t="n">
        <v>46263</v>
      </c>
      <c r="F438" t="inlineStr">
        <is>
          <t>NORRBOTTENS LÄN</t>
        </is>
      </c>
      <c r="G438" t="inlineStr">
        <is>
          <t>KALIX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44903</v>
      </c>
      <c r="E439" s="1" t="n">
        <v>46263</v>
      </c>
      <c r="F439" t="inlineStr">
        <is>
          <t>NORRBOTTENS LÄN</t>
        </is>
      </c>
      <c r="G439" t="inlineStr">
        <is>
          <t>KALIX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46263</v>
      </c>
      <c r="F440" t="inlineStr">
        <is>
          <t>NORRBOTTENS LÄN</t>
        </is>
      </c>
      <c r="G440" t="inlineStr">
        <is>
          <t>KALIX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46263</v>
      </c>
      <c r="F441" t="inlineStr">
        <is>
          <t>NORRBOTTENS LÄN</t>
        </is>
      </c>
      <c r="G441" t="inlineStr">
        <is>
          <t>KALIX</t>
        </is>
      </c>
      <c r="I441" t="n">
        <v>16.2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45492</v>
      </c>
      <c r="E442" s="1" t="n">
        <v>46263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46263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18010-2024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46263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45881</v>
      </c>
      <c r="E445" s="1" t="n">
        <v>46263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45036</v>
      </c>
      <c r="E446" s="1" t="n">
        <v>46263</v>
      </c>
      <c r="F446" t="inlineStr">
        <is>
          <t>NORRBOTTENS LÄN</t>
        </is>
      </c>
      <c r="G446" t="inlineStr">
        <is>
          <t>KALIX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46263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58353-2022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44901</v>
      </c>
      <c r="E448" s="1" t="n">
        <v>46263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45712</v>
      </c>
      <c r="E449" s="1" t="n">
        <v>46263</v>
      </c>
      <c r="F449" t="inlineStr">
        <is>
          <t>NORRBOTTENS LÄN</t>
        </is>
      </c>
      <c r="G449" t="inlineStr">
        <is>
          <t>KALIX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46263</v>
      </c>
      <c r="F450" t="inlineStr">
        <is>
          <t>NORRBOTTENS LÄN</t>
        </is>
      </c>
      <c r="G450" t="inlineStr">
        <is>
          <t>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60508-2023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45259</v>
      </c>
      <c r="E451" s="1" t="n">
        <v>46263</v>
      </c>
      <c r="F451" t="inlineStr">
        <is>
          <t>NORRBOTTENS LÄN</t>
        </is>
      </c>
      <c r="G451" t="inlineStr">
        <is>
          <t>KALIX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45641</v>
      </c>
      <c r="E452" s="1" t="n">
        <v>46263</v>
      </c>
      <c r="F452" t="inlineStr">
        <is>
          <t>NORRBOTTENS LÄN</t>
        </is>
      </c>
      <c r="G452" t="inlineStr">
        <is>
          <t>KALIX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35051-2023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45145</v>
      </c>
      <c r="E453" s="1" t="n">
        <v>46263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46263</v>
      </c>
      <c r="F454" t="inlineStr">
        <is>
          <t>NORRBOTTENS LÄN</t>
        </is>
      </c>
      <c r="G454" t="inlineStr">
        <is>
          <t>KALIX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45246</v>
      </c>
      <c r="E455" s="1" t="n">
        <v>46263</v>
      </c>
      <c r="F455" t="inlineStr">
        <is>
          <t>NORRBOTTENS LÄN</t>
        </is>
      </c>
      <c r="G455" t="inlineStr">
        <is>
          <t>KALIX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46263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46263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44956</v>
      </c>
      <c r="E458" s="1" t="n">
        <v>46263</v>
      </c>
      <c r="F458" t="inlineStr">
        <is>
          <t>NORRBOTTENS LÄN</t>
        </is>
      </c>
      <c r="G458" t="inlineStr">
        <is>
          <t>KALIX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45730</v>
      </c>
      <c r="E459" s="1" t="n">
        <v>46263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45679</v>
      </c>
      <c r="E460" s="1" t="n">
        <v>46263</v>
      </c>
      <c r="F460" t="inlineStr">
        <is>
          <t>NORRBOTTENS LÄN</t>
        </is>
      </c>
      <c r="G460" t="inlineStr">
        <is>
          <t>KALIX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46263</v>
      </c>
      <c r="F461" t="inlineStr">
        <is>
          <t>NORRBOTTENS LÄN</t>
        </is>
      </c>
      <c r="G461" t="inlineStr">
        <is>
          <t>KALIX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46263</v>
      </c>
      <c r="F462" t="inlineStr">
        <is>
          <t>NORRBOTTENS LÄN</t>
        </is>
      </c>
      <c r="G462" t="inlineStr">
        <is>
          <t>KALIX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45401</v>
      </c>
      <c r="E463" s="1" t="n">
        <v>46263</v>
      </c>
      <c r="F463" t="inlineStr">
        <is>
          <t>NORRBOTTENS LÄN</t>
        </is>
      </c>
      <c r="G463" t="inlineStr">
        <is>
          <t>KALIX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45226</v>
      </c>
      <c r="E464" s="1" t="n">
        <v>46263</v>
      </c>
      <c r="F464" t="inlineStr">
        <is>
          <t>NORRBOTTENS LÄN</t>
        </is>
      </c>
      <c r="G464" t="inlineStr">
        <is>
          <t>KALIX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44894</v>
      </c>
      <c r="E465" s="1" t="n">
        <v>46263</v>
      </c>
      <c r="F465" t="inlineStr">
        <is>
          <t>NORRBOTTENS LÄN</t>
        </is>
      </c>
      <c r="G465" t="inlineStr">
        <is>
          <t>KALIX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45105</v>
      </c>
      <c r="E466" s="1" t="n">
        <v>46263</v>
      </c>
      <c r="F466" t="inlineStr">
        <is>
          <t>NORRBOTTENS LÄN</t>
        </is>
      </c>
      <c r="G466" t="inlineStr">
        <is>
          <t>KALIX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44898</v>
      </c>
      <c r="E467" s="1" t="n">
        <v>46263</v>
      </c>
      <c r="F467" t="inlineStr">
        <is>
          <t>NORRBOTTENS LÄN</t>
        </is>
      </c>
      <c r="G467" t="inlineStr">
        <is>
          <t>KALIX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46263</v>
      </c>
      <c r="F468" t="inlineStr">
        <is>
          <t>NORRBOTTENS LÄN</t>
        </is>
      </c>
      <c r="G468" t="inlineStr">
        <is>
          <t>KALIX</t>
        </is>
      </c>
      <c r="I468" t="n">
        <v>17.4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45582</v>
      </c>
      <c r="E469" s="1" t="n">
        <v>46263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46263</v>
      </c>
      <c r="F470" t="inlineStr">
        <is>
          <t>NORRBOTTENS LÄN</t>
        </is>
      </c>
      <c r="G470" t="inlineStr">
        <is>
          <t>KALIX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20317-2023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45054</v>
      </c>
      <c r="E471" s="1" t="n">
        <v>46263</v>
      </c>
      <c r="F471" t="inlineStr">
        <is>
          <t>NORRBOTTENS LÄN</t>
        </is>
      </c>
      <c r="G471" t="inlineStr">
        <is>
          <t>KALIX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46263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45225</v>
      </c>
      <c r="E473" s="1" t="n">
        <v>46263</v>
      </c>
      <c r="F473" t="inlineStr">
        <is>
          <t>NORRBOTTENS LÄN</t>
        </is>
      </c>
      <c r="G473" t="inlineStr">
        <is>
          <t>KALIX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12927-2024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45385</v>
      </c>
      <c r="E474" s="1" t="n">
        <v>46263</v>
      </c>
      <c r="F474" t="inlineStr">
        <is>
          <t>NORRBOTTENS LÄN</t>
        </is>
      </c>
      <c r="G474" t="inlineStr">
        <is>
          <t>KALIX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46263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46263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46263</v>
      </c>
      <c r="F477" t="inlineStr">
        <is>
          <t>NORRBOTTENS LÄN</t>
        </is>
      </c>
      <c r="G477" t="inlineStr">
        <is>
          <t>KALIX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45678</v>
      </c>
      <c r="E478" s="1" t="n">
        <v>46263</v>
      </c>
      <c r="F478" t="inlineStr">
        <is>
          <t>NORRBOTTENS LÄN</t>
        </is>
      </c>
      <c r="G478" t="inlineStr">
        <is>
          <t>KALIX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44981</v>
      </c>
      <c r="E479" s="1" t="n">
        <v>46263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46263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45586</v>
      </c>
      <c r="E481" s="1" t="n">
        <v>46263</v>
      </c>
      <c r="F481" t="inlineStr">
        <is>
          <t>NORRBOTTENS LÄN</t>
        </is>
      </c>
      <c r="G481" t="inlineStr">
        <is>
          <t>KALIX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45063</v>
      </c>
      <c r="E482" s="1" t="n">
        <v>46263</v>
      </c>
      <c r="F482" t="inlineStr">
        <is>
          <t>NORRBOTTENS LÄN</t>
        </is>
      </c>
      <c r="G482" t="inlineStr">
        <is>
          <t>KALIX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46263</v>
      </c>
      <c r="F483" t="inlineStr">
        <is>
          <t>NORRBOTTENS LÄN</t>
        </is>
      </c>
      <c r="G483" t="inlineStr">
        <is>
          <t>KALIX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46263</v>
      </c>
      <c r="F484" t="inlineStr">
        <is>
          <t>NORRBOTTENS LÄN</t>
        </is>
      </c>
      <c r="G484" t="inlineStr">
        <is>
          <t>KALIX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45641</v>
      </c>
      <c r="E485" s="1" t="n">
        <v>46263</v>
      </c>
      <c r="F485" t="inlineStr">
        <is>
          <t>NORRBOTTENS LÄN</t>
        </is>
      </c>
      <c r="G485" t="inlineStr">
        <is>
          <t>KALIX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41132-2023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46263</v>
      </c>
      <c r="F486" t="inlineStr">
        <is>
          <t>NORRBOTTENS LÄN</t>
        </is>
      </c>
      <c r="G486" t="inlineStr">
        <is>
          <t>KALIX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21169-2026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46146</v>
      </c>
      <c r="E487" s="1" t="n">
        <v>46263</v>
      </c>
      <c r="F487" t="inlineStr">
        <is>
          <t>NORRBOTTENS LÄN</t>
        </is>
      </c>
      <c r="G487" t="inlineStr">
        <is>
          <t>KALIX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46263</v>
      </c>
      <c r="F488" t="inlineStr">
        <is>
          <t>NORRBOTTENS LÄN</t>
        </is>
      </c>
      <c r="G488" t="inlineStr">
        <is>
          <t>KALIX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45058</v>
      </c>
      <c r="E489" s="1" t="n">
        <v>46263</v>
      </c>
      <c r="F489" t="inlineStr">
        <is>
          <t>NORRBOTTENS LÄN</t>
        </is>
      </c>
      <c r="G489" t="inlineStr">
        <is>
          <t>KALIX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46263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45542</v>
      </c>
      <c r="E491" s="1" t="n">
        <v>46263</v>
      </c>
      <c r="F491" t="inlineStr">
        <is>
          <t>NORRBOTTENS LÄN</t>
        </is>
      </c>
      <c r="G491" t="inlineStr">
        <is>
          <t>KALIX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46081</v>
      </c>
      <c r="E492" s="1" t="n">
        <v>46263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46154</v>
      </c>
      <c r="E493" s="1" t="n">
        <v>46263</v>
      </c>
      <c r="F493" t="inlineStr">
        <is>
          <t>NORRBOTTENS LÄN</t>
        </is>
      </c>
      <c r="G493" t="inlineStr">
        <is>
          <t>KALIX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46263</v>
      </c>
      <c r="F494" t="inlineStr">
        <is>
          <t>NORRBOTTENS LÄN</t>
        </is>
      </c>
      <c r="G494" t="inlineStr">
        <is>
          <t>KALIX</t>
        </is>
      </c>
      <c r="H494" t="inlineStr">
        <is>
          <t>Kommuner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46263</v>
      </c>
      <c r="F495" t="inlineStr">
        <is>
          <t>NORRBOTTENS LÄN</t>
        </is>
      </c>
      <c r="G495" t="inlineStr">
        <is>
          <t>KALIX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46263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46263</v>
      </c>
      <c r="F497" t="inlineStr">
        <is>
          <t>NORRBOTTENS LÄN</t>
        </is>
      </c>
      <c r="G497" t="inlineStr">
        <is>
          <t>KALIX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46263</v>
      </c>
      <c r="F498" t="inlineStr">
        <is>
          <t>NORRBOTTENS LÄN</t>
        </is>
      </c>
      <c r="G498" t="inlineStr">
        <is>
          <t>KALIX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46263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46263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45638</v>
      </c>
      <c r="E501" s="1" t="n">
        <v>46263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46263</v>
      </c>
      <c r="F502" t="inlineStr">
        <is>
          <t>NORRBOTTENS LÄN</t>
        </is>
      </c>
      <c r="G502" t="inlineStr">
        <is>
          <t>KALIX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45117</v>
      </c>
      <c r="E503" s="1" t="n">
        <v>46263</v>
      </c>
      <c r="F503" t="inlineStr">
        <is>
          <t>NORRBOTTENS LÄN</t>
        </is>
      </c>
      <c r="G503" t="inlineStr">
        <is>
          <t>KALIX</t>
        </is>
      </c>
      <c r="H503" t="inlineStr">
        <is>
          <t>Sveaskog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45660</v>
      </c>
      <c r="E504" s="1" t="n">
        <v>46263</v>
      </c>
      <c r="F504" t="inlineStr">
        <is>
          <t>NORRBOTTENS LÄN</t>
        </is>
      </c>
      <c r="G504" t="inlineStr">
        <is>
          <t>KALIX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46263</v>
      </c>
      <c r="F505" t="inlineStr">
        <is>
          <t>NORRBOTTENS LÄN</t>
        </is>
      </c>
      <c r="G505" t="inlineStr">
        <is>
          <t>KALIX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61885-2025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46263</v>
      </c>
      <c r="F506" t="inlineStr">
        <is>
          <t>NORRBOTTENS LÄN</t>
        </is>
      </c>
      <c r="G506" t="inlineStr">
        <is>
          <t>KALIX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46263</v>
      </c>
      <c r="F507" t="inlineStr">
        <is>
          <t>NORRBOTTENS LÄN</t>
        </is>
      </c>
      <c r="G507" t="inlineStr">
        <is>
          <t>KALIX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1230-2025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45667</v>
      </c>
      <c r="E508" s="1" t="n">
        <v>46263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48063-2023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46263</v>
      </c>
      <c r="F509" t="inlineStr">
        <is>
          <t>NORRBOTTENS LÄN</t>
        </is>
      </c>
      <c r="G509" t="inlineStr">
        <is>
          <t>KALIX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45777</v>
      </c>
      <c r="E510" s="1" t="n">
        <v>46263</v>
      </c>
      <c r="F510" t="inlineStr">
        <is>
          <t>NORRBOTTENS LÄN</t>
        </is>
      </c>
      <c r="G510" t="inlineStr">
        <is>
          <t>KALIX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46263</v>
      </c>
      <c r="F511" t="inlineStr">
        <is>
          <t>NORRBOTTENS LÄN</t>
        </is>
      </c>
      <c r="G511" t="inlineStr">
        <is>
          <t>KALIX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46263</v>
      </c>
      <c r="F512" t="inlineStr">
        <is>
          <t>NORRBOTTENS LÄN</t>
        </is>
      </c>
      <c r="G512" t="inlineStr">
        <is>
          <t>KALIX</t>
        </is>
      </c>
      <c r="I512" t="n">
        <v>14.8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46263</v>
      </c>
      <c r="F513" t="inlineStr">
        <is>
          <t>NORRBOTTENS LÄN</t>
        </is>
      </c>
      <c r="G513" t="inlineStr">
        <is>
          <t>KALIX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46263</v>
      </c>
      <c r="F514" t="inlineStr">
        <is>
          <t>NORRBOTTENS LÄN</t>
        </is>
      </c>
      <c r="G514" t="inlineStr">
        <is>
          <t>KALIX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55539-2024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45622</v>
      </c>
      <c r="E515" s="1" t="n">
        <v>46263</v>
      </c>
      <c r="F515" t="inlineStr">
        <is>
          <t>NORRBOTTENS LÄN</t>
        </is>
      </c>
      <c r="G515" t="inlineStr">
        <is>
          <t>KALIX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46263</v>
      </c>
      <c r="F516" t="inlineStr">
        <is>
          <t>NORRBOTTENS LÄN</t>
        </is>
      </c>
      <c r="G516" t="inlineStr">
        <is>
          <t>KALIX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46263</v>
      </c>
      <c r="F517" t="inlineStr">
        <is>
          <t>NORRBOTTENS LÄN</t>
        </is>
      </c>
      <c r="G517" t="inlineStr">
        <is>
          <t>KALIX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46263</v>
      </c>
      <c r="F518" t="inlineStr">
        <is>
          <t>NORRBOTTENS LÄN</t>
        </is>
      </c>
      <c r="G518" t="inlineStr">
        <is>
          <t>KALIX</t>
        </is>
      </c>
      <c r="H518" t="inlineStr">
        <is>
          <t>Kommuner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59736-2024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45639</v>
      </c>
      <c r="E519" s="1" t="n">
        <v>46263</v>
      </c>
      <c r="F519" t="inlineStr">
        <is>
          <t>NORRBOTTENS LÄN</t>
        </is>
      </c>
      <c r="G519" t="inlineStr">
        <is>
          <t>KALIX</t>
        </is>
      </c>
      <c r="I519" t="n">
        <v>63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46263</v>
      </c>
      <c r="F520" t="inlineStr">
        <is>
          <t>NORRBOTTENS LÄN</t>
        </is>
      </c>
      <c r="G520" t="inlineStr">
        <is>
          <t>KALIX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24033-2026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46167</v>
      </c>
      <c r="E521" s="1" t="n">
        <v>46263</v>
      </c>
      <c r="F521" t="inlineStr">
        <is>
          <t>NORRBOTTENS LÄN</t>
        </is>
      </c>
      <c r="G521" t="inlineStr">
        <is>
          <t>KALIX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46263</v>
      </c>
      <c r="F522" t="inlineStr">
        <is>
          <t>NORRBOTTENS LÄN</t>
        </is>
      </c>
      <c r="G522" t="inlineStr">
        <is>
          <t>KALIX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46263</v>
      </c>
      <c r="F523" t="inlineStr">
        <is>
          <t>NORRBOTTENS LÄN</t>
        </is>
      </c>
      <c r="G523" t="inlineStr">
        <is>
          <t>KALIX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46263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46263</v>
      </c>
      <c r="F525" t="inlineStr">
        <is>
          <t>NORRBOTTENS LÄN</t>
        </is>
      </c>
      <c r="G525" t="inlineStr">
        <is>
          <t>KALIX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46263</v>
      </c>
      <c r="F526" t="inlineStr">
        <is>
          <t>NORRBOTTENS LÄN</t>
        </is>
      </c>
      <c r="G526" t="inlineStr">
        <is>
          <t>KALIX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46263</v>
      </c>
      <c r="F527" t="inlineStr">
        <is>
          <t>NORRBOTTENS LÄN</t>
        </is>
      </c>
      <c r="G527" t="inlineStr">
        <is>
          <t>KALIX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46263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46221</v>
      </c>
      <c r="E529" s="1" t="n">
        <v>46263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46263</v>
      </c>
      <c r="F530" t="inlineStr">
        <is>
          <t>NORRBOTTENS LÄN</t>
        </is>
      </c>
      <c r="G530" t="inlineStr">
        <is>
          <t>KALIX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46263</v>
      </c>
      <c r="F531" t="inlineStr">
        <is>
          <t>NORRBOTTENS LÄN</t>
        </is>
      </c>
      <c r="G531" t="inlineStr">
        <is>
          <t>KALIX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46225</v>
      </c>
      <c r="E532" s="1" t="n">
        <v>46263</v>
      </c>
      <c r="F532" t="inlineStr">
        <is>
          <t>NORRBOTTENS LÄN</t>
        </is>
      </c>
      <c r="G532" t="inlineStr">
        <is>
          <t>KALIX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32114-2026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46233</v>
      </c>
      <c r="E533" s="1" t="n">
        <v>46263</v>
      </c>
      <c r="F533" t="inlineStr">
        <is>
          <t>NORRBOTTENS LÄN</t>
        </is>
      </c>
      <c r="G533" t="inlineStr">
        <is>
          <t>KALIX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46234</v>
      </c>
      <c r="E534" s="1" t="n">
        <v>46263</v>
      </c>
      <c r="F534" t="inlineStr">
        <is>
          <t>NORRBOTTENS LÄN</t>
        </is>
      </c>
      <c r="G534" t="inlineStr">
        <is>
          <t>KALIX</t>
        </is>
      </c>
      <c r="H534" t="inlineStr">
        <is>
          <t>Sveaskog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46263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46263</v>
      </c>
      <c r="F536" t="inlineStr">
        <is>
          <t>NORRBOTTENS LÄN</t>
        </is>
      </c>
      <c r="G536" t="inlineStr">
        <is>
          <t>KALIX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32327-2026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46238</v>
      </c>
      <c r="E537" s="1" t="n">
        <v>46263</v>
      </c>
      <c r="F537" t="inlineStr">
        <is>
          <t>NORRBOTTENS LÄN</t>
        </is>
      </c>
      <c r="G537" t="inlineStr">
        <is>
          <t>KALIX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46263</v>
      </c>
      <c r="F538" t="inlineStr">
        <is>
          <t>NORRBOTTENS LÄN</t>
        </is>
      </c>
      <c r="G538" t="inlineStr">
        <is>
          <t>KALIX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32328-2026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46238</v>
      </c>
      <c r="E539" s="1" t="n">
        <v>46263</v>
      </c>
      <c r="F539" t="inlineStr">
        <is>
          <t>NORRBOTTENS LÄN</t>
        </is>
      </c>
      <c r="G539" t="inlineStr">
        <is>
          <t>KALIX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46238</v>
      </c>
      <c r="E540" s="1" t="n">
        <v>46263</v>
      </c>
      <c r="F540" t="inlineStr">
        <is>
          <t>NORRBOTTENS LÄN</t>
        </is>
      </c>
      <c r="G540" t="inlineStr">
        <is>
          <t>KALIX</t>
        </is>
      </c>
      <c r="I540" t="n">
        <v>11.5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46263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46263</v>
      </c>
      <c r="F542" t="inlineStr">
        <is>
          <t>NORRBOTTENS LÄN</t>
        </is>
      </c>
      <c r="G542" t="inlineStr">
        <is>
          <t>KALIX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28155-2026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46195</v>
      </c>
      <c r="E543" s="1" t="n">
        <v>46263</v>
      </c>
      <c r="F543" t="inlineStr">
        <is>
          <t>NORRBOTTENS LÄN</t>
        </is>
      </c>
      <c r="G543" t="inlineStr">
        <is>
          <t>KALIX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46263</v>
      </c>
      <c r="F544" t="inlineStr">
        <is>
          <t>NORRBOTTENS LÄN</t>
        </is>
      </c>
      <c r="G544" t="inlineStr">
        <is>
          <t>KALIX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46263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46263</v>
      </c>
      <c r="F546" t="inlineStr">
        <is>
          <t>NORRBOTTENS LÄN</t>
        </is>
      </c>
      <c r="G546" t="inlineStr">
        <is>
          <t>KALIX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46263</v>
      </c>
      <c r="F547" t="inlineStr">
        <is>
          <t>NORRBOTTENS LÄN</t>
        </is>
      </c>
      <c r="G547" t="inlineStr">
        <is>
          <t>KALIX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46263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13.2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46263</v>
      </c>
      <c r="F549" t="inlineStr">
        <is>
          <t>NORRBOTTENS LÄN</t>
        </is>
      </c>
      <c r="G549" t="inlineStr">
        <is>
          <t>KALIX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46263</v>
      </c>
      <c r="F550" t="inlineStr">
        <is>
          <t>NORRBOTTENS LÄN</t>
        </is>
      </c>
      <c r="G550" t="inlineStr">
        <is>
          <t>KALIX</t>
        </is>
      </c>
      <c r="I550" t="n">
        <v>19.3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46263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46263</v>
      </c>
      <c r="F552" t="inlineStr">
        <is>
          <t>NORRBOTTENS LÄN</t>
        </is>
      </c>
      <c r="G552" t="inlineStr">
        <is>
          <t>KALIX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46263</v>
      </c>
      <c r="F553" t="inlineStr">
        <is>
          <t>NORRBOTTENS LÄN</t>
        </is>
      </c>
      <c r="G553" t="inlineStr">
        <is>
          <t>KALIX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46263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46263</v>
      </c>
      <c r="F555" t="inlineStr">
        <is>
          <t>NORRBOTTENS LÄN</t>
        </is>
      </c>
      <c r="G555" t="inlineStr">
        <is>
          <t>KALIX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46246</v>
      </c>
      <c r="E556" s="1" t="n">
        <v>46263</v>
      </c>
      <c r="F556" t="inlineStr">
        <is>
          <t>NORRBOTTENS LÄN</t>
        </is>
      </c>
      <c r="G556" t="inlineStr">
        <is>
          <t>KALIX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46263</v>
      </c>
      <c r="F557" t="inlineStr">
        <is>
          <t>NORRBOTTENS LÄN</t>
        </is>
      </c>
      <c r="G557" t="inlineStr">
        <is>
          <t>KALIX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45510</v>
      </c>
      <c r="E558" s="1" t="n">
        <v>46263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46263</v>
      </c>
      <c r="F559" t="inlineStr">
        <is>
          <t>NORRBOTTENS LÄN</t>
        </is>
      </c>
      <c r="G559" t="inlineStr">
        <is>
          <t>KALIX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46263</v>
      </c>
      <c r="F560" t="inlineStr">
        <is>
          <t>NORRBOTTENS LÄN</t>
        </is>
      </c>
      <c r="G560" t="inlineStr">
        <is>
          <t>KALIX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46263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46263</v>
      </c>
      <c r="F562" t="inlineStr">
        <is>
          <t>NORRBOTTENS LÄN</t>
        </is>
      </c>
      <c r="G562" t="inlineStr">
        <is>
          <t>KALIX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46263</v>
      </c>
      <c r="F563" t="inlineStr">
        <is>
          <t>NORRBOTTENS LÄN</t>
        </is>
      </c>
      <c r="G563" t="inlineStr">
        <is>
          <t>KALIX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46263</v>
      </c>
      <c r="F564" t="inlineStr">
        <is>
          <t>NORRBOTTENS LÄN</t>
        </is>
      </c>
      <c r="G564" t="inlineStr">
        <is>
          <t>KALIX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46263</v>
      </c>
      <c r="F565" t="inlineStr">
        <is>
          <t>NORRBOTTENS LÄN</t>
        </is>
      </c>
      <c r="G565" t="inlineStr">
        <is>
          <t>KALIX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46263</v>
      </c>
      <c r="F566" t="inlineStr">
        <is>
          <t>NORRBOTTENS LÄN</t>
        </is>
      </c>
      <c r="G566" t="inlineStr">
        <is>
          <t>KALIX</t>
        </is>
      </c>
      <c r="H566" t="inlineStr">
        <is>
          <t>Sveaskog</t>
        </is>
      </c>
      <c r="I566" t="n">
        <v>17.8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34596-2026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46263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46263</v>
      </c>
      <c r="F568" t="inlineStr">
        <is>
          <t>NORRBOTTENS LÄN</t>
        </is>
      </c>
      <c r="G568" t="inlineStr">
        <is>
          <t>KALIX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46263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46263</v>
      </c>
      <c r="F570" t="inlineStr">
        <is>
          <t>NORRBOTTENS LÄN</t>
        </is>
      </c>
      <c r="G570" t="inlineStr">
        <is>
          <t>KALIX</t>
        </is>
      </c>
      <c r="H570" t="inlineStr">
        <is>
          <t>Sveaskog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2172-2022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44678</v>
      </c>
      <c r="E571" s="1" t="n">
        <v>46263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1138-2024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45393</v>
      </c>
      <c r="E572" s="1" t="n">
        <v>46263</v>
      </c>
      <c r="F572" t="inlineStr">
        <is>
          <t>NORRBOTTENS LÄN</t>
        </is>
      </c>
      <c r="G572" t="inlineStr">
        <is>
          <t>KALIX</t>
        </is>
      </c>
      <c r="I572" t="n">
        <v>16.5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1658-2023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45061</v>
      </c>
      <c r="E573" s="1" t="n">
        <v>46263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157-2023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44944</v>
      </c>
      <c r="E574" s="1" t="n">
        <v>46263</v>
      </c>
      <c r="F574" t="inlineStr">
        <is>
          <t>NORRBOTTENS LÄN</t>
        </is>
      </c>
      <c r="G574" t="inlineStr">
        <is>
          <t>KALIX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1139-2024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46263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1659-2023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46263</v>
      </c>
      <c r="F576" t="inlineStr">
        <is>
          <t>NORRBOTTENS LÄN</t>
        </is>
      </c>
      <c r="G576" t="inlineStr">
        <is>
          <t>KALIX</t>
        </is>
      </c>
      <c r="I576" t="n">
        <v>17.1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1131-2024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46263</v>
      </c>
      <c r="F577" t="inlineStr">
        <is>
          <t>NORRBOTTENS LÄN</t>
        </is>
      </c>
      <c r="G577" t="inlineStr">
        <is>
          <t>KALIX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46263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961-2024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45383</v>
      </c>
      <c r="E579" s="1" t="n">
        <v>46263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45733</v>
      </c>
      <c r="E580" s="1" t="n">
        <v>46263</v>
      </c>
      <c r="F580" t="inlineStr">
        <is>
          <t>NORRBOTTENS LÄN</t>
        </is>
      </c>
      <c r="G580" t="inlineStr">
        <is>
          <t>KALIX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46263</v>
      </c>
      <c r="F581" t="inlineStr">
        <is>
          <t>NORRBOTTENS LÄN</t>
        </is>
      </c>
      <c r="G581" t="inlineStr">
        <is>
          <t>KALIX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46263</v>
      </c>
      <c r="F582" t="inlineStr">
        <is>
          <t>NORRBOTTENS LÄN</t>
        </is>
      </c>
      <c r="G582" t="inlineStr">
        <is>
          <t>KALIX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1017-2025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46263</v>
      </c>
      <c r="F583" t="inlineStr">
        <is>
          <t>NORRBOTTENS LÄN</t>
        </is>
      </c>
      <c r="G583" t="inlineStr">
        <is>
          <t>KALIX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1176-2025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45756</v>
      </c>
      <c r="E584" s="1" t="n">
        <v>46263</v>
      </c>
      <c r="F584" t="inlineStr">
        <is>
          <t>NORRBOTTENS LÄN</t>
        </is>
      </c>
      <c r="G584" t="inlineStr">
        <is>
          <t>KALIX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1356-2025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45775</v>
      </c>
      <c r="E585" s="1" t="n">
        <v>46263</v>
      </c>
      <c r="F585" t="inlineStr">
        <is>
          <t>NORRBOTTENS LÄN</t>
        </is>
      </c>
      <c r="G585" t="inlineStr">
        <is>
          <t>KALIX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1355-2025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46263</v>
      </c>
      <c r="F586" t="inlineStr">
        <is>
          <t>NORRBOTTENS LÄN</t>
        </is>
      </c>
      <c r="G586" t="inlineStr">
        <is>
          <t>KALIX</t>
        </is>
      </c>
      <c r="I586" t="n">
        <v>36.9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1493-2026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46162</v>
      </c>
      <c r="E587" s="1" t="n">
        <v>46263</v>
      </c>
      <c r="F587" t="inlineStr">
        <is>
          <t>NORRBOTTENS LÄN</t>
        </is>
      </c>
      <c r="G587" t="inlineStr">
        <is>
          <t>KALIX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46190</v>
      </c>
      <c r="E588" s="1" t="n">
        <v>46263</v>
      </c>
      <c r="F588" t="inlineStr">
        <is>
          <t>NORRBOTTENS LÄN</t>
        </is>
      </c>
      <c r="G588" t="inlineStr">
        <is>
          <t>KALIX</t>
        </is>
      </c>
      <c r="I588" t="n">
        <v>12.8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1797-2026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46263</v>
      </c>
      <c r="F589" t="inlineStr">
        <is>
          <t>NORRBOTTENS LÄN</t>
        </is>
      </c>
      <c r="G589" t="inlineStr">
        <is>
          <t>KALIX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2026-08-29T01:55:00Z</dcterms:created>
  <dcterms:modified xmlns:dcterms="http://purl.org/dc/terms/" xmlns:xsi="http://www.w3.org/2001/XMLSchema-instance" xsi:type="dcterms:W3CDTF">2026-08-29T01:55:01Z</dcterms:modified>
</cp:coreProperties>
</file>