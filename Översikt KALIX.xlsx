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45587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45587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45587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45587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45587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45587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45587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45587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45587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45587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45587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45587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45587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45587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45587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45587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45587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45587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45587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47305-2019</t>
        </is>
      </c>
      <c r="B21" s="1" t="n">
        <v>43721</v>
      </c>
      <c r="C21" s="1" t="n">
        <v>45587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HYPERLINK("https://klasma.github.io/Logging_2514/artfynd/A 47305-2019 artfynd.xlsx", "A 47305-2019")</f>
        <v/>
      </c>
      <c r="T21">
        <f>HYPERLINK("https://klasma.github.io/Logging_2514/kartor/A 47305-2019 karta.png", "A 47305-2019")</f>
        <v/>
      </c>
      <c r="V21">
        <f>HYPERLINK("https://klasma.github.io/Logging_2514/klagomål/A 47305-2019 FSC-klagomål.docx", "A 47305-2019")</f>
        <v/>
      </c>
      <c r="W21">
        <f>HYPERLINK("https://klasma.github.io/Logging_2514/klagomålsmail/A 47305-2019 FSC-klagomål mail.docx", "A 47305-2019")</f>
        <v/>
      </c>
      <c r="X21">
        <f>HYPERLINK("https://klasma.github.io/Logging_2514/tillsyn/A 47305-2019 tillsynsbegäran.docx", "A 47305-2019")</f>
        <v/>
      </c>
      <c r="Y21">
        <f>HYPERLINK("https://klasma.github.io/Logging_2514/tillsynsmail/A 47305-2019 tillsynsbegäran mail.docx", "A 47305-2019")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45587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13716-2021</t>
        </is>
      </c>
      <c r="B23" s="1" t="n">
        <v>44274</v>
      </c>
      <c r="C23" s="1" t="n">
        <v>45587</v>
      </c>
      <c r="D23" t="inlineStr">
        <is>
          <t>NORRBOTTENS LÄN</t>
        </is>
      </c>
      <c r="E23" t="inlineStr">
        <is>
          <t>KALIX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HYPERLINK("https://klasma.github.io/Logging_2514/artfynd/A 13716-2021 artfynd.xlsx", "A 13716-2021")</f>
        <v/>
      </c>
      <c r="T23">
        <f>HYPERLINK("https://klasma.github.io/Logging_2514/kartor/A 13716-2021 karta.png", "A 13716-2021")</f>
        <v/>
      </c>
      <c r="V23">
        <f>HYPERLINK("https://klasma.github.io/Logging_2514/klagomål/A 13716-2021 FSC-klagomål.docx", "A 13716-2021")</f>
        <v/>
      </c>
      <c r="W23">
        <f>HYPERLINK("https://klasma.github.io/Logging_2514/klagomålsmail/A 13716-2021 FSC-klagomål mail.docx", "A 13716-2021")</f>
        <v/>
      </c>
      <c r="X23">
        <f>HYPERLINK("https://klasma.github.io/Logging_2514/tillsyn/A 13716-2021 tillsynsbegäran.docx", "A 13716-2021")</f>
        <v/>
      </c>
      <c r="Y23">
        <f>HYPERLINK("https://klasma.github.io/Logging_2514/tillsynsmail/A 13716-2021 tillsynsbegäran mail.docx", "A 13716-2021")</f>
        <v/>
      </c>
    </row>
    <row r="24" ht="15" customHeight="1">
      <c r="A24" t="inlineStr">
        <is>
          <t>A 31232-2021</t>
        </is>
      </c>
      <c r="B24" s="1" t="n">
        <v>44368</v>
      </c>
      <c r="C24" s="1" t="n">
        <v>45587</v>
      </c>
      <c r="D24" t="inlineStr">
        <is>
          <t>NORRBOTTENS LÄN</t>
        </is>
      </c>
      <c r="E24" t="inlineStr">
        <is>
          <t>KALIX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HYPERLINK("https://klasma.github.io/Logging_2514/artfynd/A 31232-2021 artfynd.xlsx", "A 31232-2021")</f>
        <v/>
      </c>
      <c r="T24">
        <f>HYPERLINK("https://klasma.github.io/Logging_2514/kartor/A 31232-2021 karta.png", "A 31232-2021")</f>
        <v/>
      </c>
      <c r="V24">
        <f>HYPERLINK("https://klasma.github.io/Logging_2514/klagomål/A 31232-2021 FSC-klagomål.docx", "A 31232-2021")</f>
        <v/>
      </c>
      <c r="W24">
        <f>HYPERLINK("https://klasma.github.io/Logging_2514/klagomålsmail/A 31232-2021 FSC-klagomål mail.docx", "A 31232-2021")</f>
        <v/>
      </c>
      <c r="X24">
        <f>HYPERLINK("https://klasma.github.io/Logging_2514/tillsyn/A 31232-2021 tillsynsbegäran.docx", "A 31232-2021")</f>
        <v/>
      </c>
      <c r="Y24">
        <f>HYPERLINK("https://klasma.github.io/Logging_2514/tillsynsmail/A 31232-2021 tillsynsbegäran mail.docx", "A 31232-2021")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45587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45587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45587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45587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45587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45587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45587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45587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45587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45587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45587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45587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45587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45587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45587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45587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45587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45587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45587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45587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45587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45587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45587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45587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45587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45587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45587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45587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45587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45587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45587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45587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45587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45587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45587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45587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45587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45587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45587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45587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45587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45587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45587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45587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45587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45587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45587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45587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45587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45587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45587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45587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45587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45587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45587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45587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45587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45587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45587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45587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45587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45587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45587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45587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45587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45587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45587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45587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45587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45587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45587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45587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45587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45587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45587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45587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45587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45587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45587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45587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45587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45587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45587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45587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45587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45587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45587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45587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45587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45587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45587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45587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45587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45587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45587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45587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45587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45587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45587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45587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45587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45587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45587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45587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45587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45587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45587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45587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45587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45587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45587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45587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45587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45587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45587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45587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45587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45587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45587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45587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45587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45587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45587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45587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45587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45587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45587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45587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45587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45587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45587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45587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45587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45587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45587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45587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45587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45587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45587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45587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45587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45587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45587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45587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45587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45587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45587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45587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45587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45587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45587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45587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45587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45587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45587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45587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45587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45587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45587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45587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45587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45587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45587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45587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45587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45587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45587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45587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45587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45587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45587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45587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45587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45587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45587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45587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45587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45587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45587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45587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45587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45587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45587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45587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45587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45587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45587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45587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45587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45587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45587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45587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45587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45587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45587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45587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45587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45587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45587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45587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45587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45587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45587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45587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45587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45587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45587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45587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45587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45587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45587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45587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45587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45587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45587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45587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45587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45587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45587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45587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45587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45587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45587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45587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45587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45587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45587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45587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45587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45587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45587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45587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45587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45587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45587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45587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45587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45587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45587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45587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45587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45587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45587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45587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45587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45587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45587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45587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45587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45587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45587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45587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45587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45587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45587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45587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45587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45587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45587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45587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45587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45587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45587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45587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45587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45587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45587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45587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45587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45587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45587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45587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45587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45587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45587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45587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45587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45587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45587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45587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45587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45587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45587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45587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45587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45587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45587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45587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45587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45587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45587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45587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45587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45587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45587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45587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45587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45587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45587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45587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45587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45587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45587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45587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45587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45587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45587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45587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45587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45587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45587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45587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45587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45587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45587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45587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45587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45587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45587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45587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45587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45587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45587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45587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45587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45587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45587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45587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45587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45587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45587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45587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45587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45587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45587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45587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45587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45587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45587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45587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45587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45587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45587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45587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45587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45587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45587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45587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45587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45587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45587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45587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45587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45587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45587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45587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45587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45587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45587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45587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45587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45587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45587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45587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45587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45587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45587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45587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45587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45587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45587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45587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45587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45587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45587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45587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45587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45587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45587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45587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45587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45587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45587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45587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45587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45587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45587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45587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45587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45587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45587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45587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45587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45587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45587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45587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45587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45587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45587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45587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45587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45587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45587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45587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45587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45587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45587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45587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45587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45587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45587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45587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45587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45587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45587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45587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45587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45587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45587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45587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45587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45587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45587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45587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45587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45587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45587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45587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45587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45587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45587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45587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45587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45587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45587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45587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45587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45587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45587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45587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45587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45587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45587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45587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45587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45587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45587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45587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45587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45587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45587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45587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45587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45587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45587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45587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45587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45587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45587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45587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45587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45587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45587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45587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45587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45587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45587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45587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45587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45587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45587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45587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45587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45587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45587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45587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45587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45587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45587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45587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45587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45587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45587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45587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45587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45587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45587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45587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45587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45587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45587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45587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45587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45587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45587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45587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45587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45587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45587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45587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45587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45587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45587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45587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45587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45587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45587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45587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45587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45587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45587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45587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45587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45587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45587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45587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45587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45587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45587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45587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45587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45587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45587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45587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45587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45587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45587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45587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45587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45587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45587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45587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45587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45587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45587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45587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45587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45587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45587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45587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45587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45587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45587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45587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45587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45587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45587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45587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45587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45587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45587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45587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45587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45587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45587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45587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45587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45587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45587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45587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45587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45587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45587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45587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45587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45587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45587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45587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45587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45587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45587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45587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45587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45587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45587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45587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45587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45587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45587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45587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45587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45587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45587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45587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45587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45587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45587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45587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45587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45587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45587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45587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45587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45587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45587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45587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45587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45587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45587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45587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45587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45587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45587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45587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45587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45587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45587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45587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45587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45587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45587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45587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45587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45587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45587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45587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45587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45587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45587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45587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45587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45587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45587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45587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45587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45587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45587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45587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45587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45587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45587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45587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45587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45587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45587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45587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45587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45587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45587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45587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45587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45587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45587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45587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45587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45587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45587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45587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45587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45587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45587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45587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45587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45587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45587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45587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45587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45587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45587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45587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45587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45587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45587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45587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45587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45587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45587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45587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45587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45587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45587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45587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45587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45587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45587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45587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45587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45587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45587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45587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45587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45587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41578-2024</t>
        </is>
      </c>
      <c r="B707" s="1" t="n">
        <v>45560</v>
      </c>
      <c r="C707" s="1" t="n">
        <v>45587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41577-2024</t>
        </is>
      </c>
      <c r="B708" s="1" t="n">
        <v>45560</v>
      </c>
      <c r="C708" s="1" t="n">
        <v>45587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45587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41945-2024</t>
        </is>
      </c>
      <c r="B710" s="1" t="n">
        <v>45561</v>
      </c>
      <c r="C710" s="1" t="n">
        <v>45587</v>
      </c>
      <c r="D710" t="inlineStr">
        <is>
          <t>NORRBOTTENS LÄN</t>
        </is>
      </c>
      <c r="E710" t="inlineStr">
        <is>
          <t>KALIX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42009-2024</t>
        </is>
      </c>
      <c r="B711" s="1" t="n">
        <v>45561</v>
      </c>
      <c r="C711" s="1" t="n">
        <v>45587</v>
      </c>
      <c r="D711" t="inlineStr">
        <is>
          <t>NORRBOTTENS LÄN</t>
        </is>
      </c>
      <c r="E711" t="inlineStr">
        <is>
          <t>KALIX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42155-2024</t>
        </is>
      </c>
      <c r="B712" s="1" t="n">
        <v>45562</v>
      </c>
      <c r="C712" s="1" t="n">
        <v>45587</v>
      </c>
      <c r="D712" t="inlineStr">
        <is>
          <t>NORRBOTTENS LÄN</t>
        </is>
      </c>
      <c r="E712" t="inlineStr">
        <is>
          <t>KALIX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42260-2024</t>
        </is>
      </c>
      <c r="B713" s="1" t="n">
        <v>45562</v>
      </c>
      <c r="C713" s="1" t="n">
        <v>45587</v>
      </c>
      <c r="D713" t="inlineStr">
        <is>
          <t>NORRBOTTENS LÄN</t>
        </is>
      </c>
      <c r="E713" t="inlineStr">
        <is>
          <t>KALIX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42370-2024</t>
        </is>
      </c>
      <c r="B714" s="1" t="n">
        <v>45564</v>
      </c>
      <c r="C714" s="1" t="n">
        <v>45587</v>
      </c>
      <c r="D714" t="inlineStr">
        <is>
          <t>NORRBOTTENS LÄN</t>
        </is>
      </c>
      <c r="E714" t="inlineStr">
        <is>
          <t>KALIX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42826-2024</t>
        </is>
      </c>
      <c r="B715" s="1" t="n">
        <v>45566</v>
      </c>
      <c r="C715" s="1" t="n">
        <v>45587</v>
      </c>
      <c r="D715" t="inlineStr">
        <is>
          <t>NORRBOTTENS LÄN</t>
        </is>
      </c>
      <c r="E715" t="inlineStr">
        <is>
          <t>KALIX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43098-2024</t>
        </is>
      </c>
      <c r="B716" s="1" t="n">
        <v>45567</v>
      </c>
      <c r="C716" s="1" t="n">
        <v>45587</v>
      </c>
      <c r="D716" t="inlineStr">
        <is>
          <t>NORRBOTTENS LÄN</t>
        </is>
      </c>
      <c r="E716" t="inlineStr">
        <is>
          <t>KALIX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43669-2024</t>
        </is>
      </c>
      <c r="B717" s="1" t="n">
        <v>45569</v>
      </c>
      <c r="C717" s="1" t="n">
        <v>45587</v>
      </c>
      <c r="D717" t="inlineStr">
        <is>
          <t>NORRBOTTENS LÄN</t>
        </is>
      </c>
      <c r="E717" t="inlineStr">
        <is>
          <t>KALIX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43678-2024</t>
        </is>
      </c>
      <c r="B718" s="1" t="n">
        <v>45569</v>
      </c>
      <c r="C718" s="1" t="n">
        <v>45587</v>
      </c>
      <c r="D718" t="inlineStr">
        <is>
          <t>NORRBOTTENS LÄN</t>
        </is>
      </c>
      <c r="E718" t="inlineStr">
        <is>
          <t>KALIX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45587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44197-2024</t>
        </is>
      </c>
      <c r="B720" s="1" t="n">
        <v>45573</v>
      </c>
      <c r="C720" s="1" t="n">
        <v>45587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44411-2024</t>
        </is>
      </c>
      <c r="B721" s="1" t="n">
        <v>45573</v>
      </c>
      <c r="C721" s="1" t="n">
        <v>45587</v>
      </c>
      <c r="D721" t="inlineStr">
        <is>
          <t>NORRBOTTENS LÄN</t>
        </is>
      </c>
      <c r="E721" t="inlineStr">
        <is>
          <t>KALIX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44711-2024</t>
        </is>
      </c>
      <c r="B722" s="1" t="n">
        <v>45574</v>
      </c>
      <c r="C722" s="1" t="n">
        <v>45587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14.4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44897-2024</t>
        </is>
      </c>
      <c r="B723" s="1" t="n">
        <v>45575</v>
      </c>
      <c r="C723" s="1" t="n">
        <v>45587</v>
      </c>
      <c r="D723" t="inlineStr">
        <is>
          <t>NORRBOTTENS LÄN</t>
        </is>
      </c>
      <c r="E723" t="inlineStr">
        <is>
          <t>KALIX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45587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45396-2024</t>
        </is>
      </c>
      <c r="B725" s="1" t="n">
        <v>45576</v>
      </c>
      <c r="C725" s="1" t="n">
        <v>45587</v>
      </c>
      <c r="D725" t="inlineStr">
        <is>
          <t>NORRBOTTENS LÄN</t>
        </is>
      </c>
      <c r="E725" t="inlineStr">
        <is>
          <t>KALIX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45307-2024</t>
        </is>
      </c>
      <c r="B726" s="1" t="n">
        <v>45576</v>
      </c>
      <c r="C726" s="1" t="n">
        <v>45587</v>
      </c>
      <c r="D726" t="inlineStr">
        <is>
          <t>NORRBOTTENS LÄN</t>
        </is>
      </c>
      <c r="E726" t="inlineStr">
        <is>
          <t>KALIX</t>
        </is>
      </c>
      <c r="F726" t="inlineStr">
        <is>
          <t>SCA</t>
        </is>
      </c>
      <c r="G726" t="n">
        <v>12.3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46104-2024</t>
        </is>
      </c>
      <c r="B727" s="1" t="n">
        <v>45581</v>
      </c>
      <c r="C727" s="1" t="n">
        <v>45587</v>
      </c>
      <c r="D727" t="inlineStr">
        <is>
          <t>NORRBOTTENS LÄN</t>
        </is>
      </c>
      <c r="E727" t="inlineStr">
        <is>
          <t>KALIX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46586-2024</t>
        </is>
      </c>
      <c r="B728" s="1" t="n">
        <v>45582</v>
      </c>
      <c r="C728" s="1" t="n">
        <v>45587</v>
      </c>
      <c r="D728" t="inlineStr">
        <is>
          <t>NORRBOTTENS LÄN</t>
        </is>
      </c>
      <c r="E728" t="inlineStr">
        <is>
          <t>KALIX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46585-2024</t>
        </is>
      </c>
      <c r="B729" s="1" t="n">
        <v>45582</v>
      </c>
      <c r="C729" s="1" t="n">
        <v>45587</v>
      </c>
      <c r="D729" t="inlineStr">
        <is>
          <t>NORRBOTTENS LÄN</t>
        </is>
      </c>
      <c r="E729" t="inlineStr">
        <is>
          <t>KALIX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46635-2024</t>
        </is>
      </c>
      <c r="B730" s="1" t="n">
        <v>45583</v>
      </c>
      <c r="C730" s="1" t="n">
        <v>45587</v>
      </c>
      <c r="D730" t="inlineStr">
        <is>
          <t>NORRBOTTENS LÄN</t>
        </is>
      </c>
      <c r="E730" t="inlineStr">
        <is>
          <t>KALIX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46955-2024</t>
        </is>
      </c>
      <c r="B731" s="1" t="n">
        <v>45585</v>
      </c>
      <c r="C731" s="1" t="n">
        <v>45587</v>
      </c>
      <c r="D731" t="inlineStr">
        <is>
          <t>NORRBOTTENS LÄN</t>
        </is>
      </c>
      <c r="E731" t="inlineStr">
        <is>
          <t>KALIX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47066-2024</t>
        </is>
      </c>
      <c r="B732" s="1" t="n">
        <v>45586</v>
      </c>
      <c r="C732" s="1" t="n">
        <v>45587</v>
      </c>
      <c r="D732" t="inlineStr">
        <is>
          <t>NORRBOTTENS LÄN</t>
        </is>
      </c>
      <c r="E732" t="inlineStr">
        <is>
          <t>KALIX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47150-2024</t>
        </is>
      </c>
      <c r="B733" s="1" t="n">
        <v>45586</v>
      </c>
      <c r="C733" s="1" t="n">
        <v>45587</v>
      </c>
      <c r="D733" t="inlineStr">
        <is>
          <t>NORRBOTTENS LÄN</t>
        </is>
      </c>
      <c r="E733" t="inlineStr">
        <is>
          <t>KALIX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47154-2024</t>
        </is>
      </c>
      <c r="B734" s="1" t="n">
        <v>45586</v>
      </c>
      <c r="C734" s="1" t="n">
        <v>45587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47196-2024</t>
        </is>
      </c>
      <c r="B735" s="1" t="n">
        <v>45586</v>
      </c>
      <c r="C735" s="1" t="n">
        <v>45587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2024-10-22T13:06:41Z</dcterms:created>
  <dcterms:modified xmlns:dcterms="http://purl.org/dc/terms/" xmlns:xsi="http://www.w3.org/2001/XMLSchema-instance" xsi:type="dcterms:W3CDTF">2024-10-22T13:06:41Z</dcterms:modified>
</cp:coreProperties>
</file>