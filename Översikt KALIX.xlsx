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46317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46317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46317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46317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46317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46317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46317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46317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46317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46317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46317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46317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46317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46317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46317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46317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46317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62537-2023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45268</v>
      </c>
      <c r="E20" s="1" t="n">
        <v>46317</v>
      </c>
      <c r="F20" t="inlineStr">
        <is>
          <t>NORRBOTTENS LÄN</t>
        </is>
      </c>
      <c r="G20" t="inlineStr">
        <is>
          <t>KALIX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Tibast
Äkta lopplummer</t>
        </is>
      </c>
      <c r="W20">
        <f>HYPERLINK("https://klasma.github.io/Logging_2514/artfynd/A 62537-2023 artfynd.xlsx", "A 62537-2023")</f>
        <v/>
      </c>
      <c r="X20">
        <f>HYPERLINK("https://klasma.github.io/Logging_2514/kartor/A 62537-2023 karta.png", "A 62537-2023")</f>
        <v/>
      </c>
      <c r="Y20">
        <f>HYPERLINK("https://klasma.github.io/Logging_2514/kartor_geotiff/A 62537-2023 georefererad karta.tif", "A 62537-2023")</f>
        <v/>
      </c>
      <c r="AA20">
        <f>HYPERLINK("https://klasma.github.io/Logging_2514/klagomål/A 62537-2023 FSC-klagomål.docx", "A 62537-2023")</f>
        <v/>
      </c>
      <c r="AB20">
        <f>HYPERLINK("https://klasma.github.io/Logging_2514/klagomålsmail/A 62537-2023 FSC-klagomål mail.docx", "A 62537-2023")</f>
        <v/>
      </c>
      <c r="AC20">
        <f>HYPERLINK("https://klasma.github.io/Logging_2514/tillsyn/A 62537-2023 tillsynsbegäran.docx", "A 62537-2023")</f>
        <v/>
      </c>
      <c r="AD20">
        <f>HYPERLINK("https://klasma.github.io/Logging_2514/tillsynsmail/A 62537-2023 tillsynsbegäran mail.docx", "A 62537-2023")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46317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46317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46317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46317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46317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46317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46317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46317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46317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46317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3387-2023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44945</v>
      </c>
      <c r="E33" s="1" t="n">
        <v>46317</v>
      </c>
      <c r="F33" t="inlineStr">
        <is>
          <t>NORRBOTTENS LÄN</t>
        </is>
      </c>
      <c r="G33" t="inlineStr">
        <is>
          <t>KALIX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Guckusko</t>
        </is>
      </c>
      <c r="W33">
        <f>HYPERLINK("https://klasma.github.io/Logging_2514/artfynd/A 3387-2023 artfynd.xlsx", "A 3387-2023")</f>
        <v/>
      </c>
      <c r="X33">
        <f>HYPERLINK("https://klasma.github.io/Logging_2514/kartor/A 3387-2023 karta.png", "A 3387-2023")</f>
        <v/>
      </c>
      <c r="Y33">
        <f>HYPERLINK("https://klasma.github.io/Logging_2514/kartor_geotiff/A 3387-2023 georefererad karta.tif", "A 3387-2023")</f>
        <v/>
      </c>
      <c r="AA33">
        <f>HYPERLINK("https://klasma.github.io/Logging_2514/klagomål/A 3387-2023 FSC-klagomål.docx", "A 3387-2023")</f>
        <v/>
      </c>
      <c r="AB33">
        <f>HYPERLINK("https://klasma.github.io/Logging_2514/klagomålsmail/A 3387-2023 FSC-klagomål mail.docx", "A 3387-2023")</f>
        <v/>
      </c>
      <c r="AC33">
        <f>HYPERLINK("https://klasma.github.io/Logging_2514/tillsyn/A 3387-2023 tillsynsbegäran.docx", "A 3387-2023")</f>
        <v/>
      </c>
      <c r="AD33">
        <f>HYPERLINK("https://klasma.github.io/Logging_2514/tillsynsmail/A 3387-2023 tillsynsbegäran mail.docx", "A 3387-2023")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46317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46317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42957-2026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46310</v>
      </c>
      <c r="E36" s="1" t="n">
        <v>46317</v>
      </c>
      <c r="F36" t="inlineStr">
        <is>
          <t>NORRBOTTENS LÄN</t>
        </is>
      </c>
      <c r="G36" t="inlineStr">
        <is>
          <t>KALIX</t>
        </is>
      </c>
      <c r="I36" t="n">
        <v>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HYPERLINK("https://klasma.github.io/Logging_2514/artfynd/A 42957-2026 artfynd.xlsx", "A 42957-2026")</f>
        <v/>
      </c>
      <c r="X36">
        <f>HYPERLINK("https://klasma.github.io/Logging_2514/kartor/A 42957-2026 karta.png", "A 42957-2026")</f>
        <v/>
      </c>
      <c r="Y36">
        <f>HYPERLINK("https://klasma.github.io/Logging_2514/kartor_geotiff/A 42957-2026 georefererad karta.tif", "A 42957-2026")</f>
        <v/>
      </c>
      <c r="AA36">
        <f>HYPERLINK("https://klasma.github.io/Logging_2514/klagomål/A 42957-2026 FSC-klagomål.docx", "A 42957-2026")</f>
        <v/>
      </c>
      <c r="AB36">
        <f>HYPERLINK("https://klasma.github.io/Logging_2514/klagomålsmail/A 42957-2026 FSC-klagomål mail.docx", "A 42957-2026")</f>
        <v/>
      </c>
      <c r="AC36">
        <f>HYPERLINK("https://klasma.github.io/Logging_2514/tillsyn/A 42957-2026 tillsynsbegäran.docx", "A 42957-2026")</f>
        <v/>
      </c>
      <c r="AD36">
        <f>HYPERLINK("https://klasma.github.io/Logging_2514/tillsynsmail/A 42957-2026 tillsynsbegäran mail.docx", "A 42957-2026")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46317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46317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46317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46317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46317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46317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46317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46317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46317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46317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46317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46317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46317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46317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68804-2021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46317</v>
      </c>
      <c r="F51" t="inlineStr">
        <is>
          <t>NORRBOTTENS LÄN</t>
        </is>
      </c>
      <c r="G51" t="inlineStr">
        <is>
          <t>KALIX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46317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46317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46317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46317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46317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46317</v>
      </c>
      <c r="F57" t="inlineStr">
        <is>
          <t>NORRBOTTENS LÄN</t>
        </is>
      </c>
      <c r="G57" t="inlineStr">
        <is>
          <t>KALIX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46317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46317</v>
      </c>
      <c r="F59" t="inlineStr">
        <is>
          <t>NORRBOTTENS LÄN</t>
        </is>
      </c>
      <c r="G59" t="inlineStr">
        <is>
          <t>KALIX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46317</v>
      </c>
      <c r="F60" t="inlineStr">
        <is>
          <t>NORRBOTTENS LÄN</t>
        </is>
      </c>
      <c r="G60" t="inlineStr">
        <is>
          <t>KALIX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46317</v>
      </c>
      <c r="F61" t="inlineStr">
        <is>
          <t>NORRBOTTENS LÄN</t>
        </is>
      </c>
      <c r="G61" t="inlineStr">
        <is>
          <t>KALIX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38857-2022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44816</v>
      </c>
      <c r="E62" s="1" t="n">
        <v>46317</v>
      </c>
      <c r="F62" t="inlineStr">
        <is>
          <t>NORRBOTTENS LÄN</t>
        </is>
      </c>
      <c r="G62" t="inlineStr">
        <is>
          <t>KALIX</t>
        </is>
      </c>
      <c r="H62" t="inlineStr">
        <is>
          <t>Kommuner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46317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45678</v>
      </c>
      <c r="E64" s="1" t="n">
        <v>46317</v>
      </c>
      <c r="F64" t="inlineStr">
        <is>
          <t>NORRBOTTENS LÄN</t>
        </is>
      </c>
      <c r="G64" t="inlineStr">
        <is>
          <t>KALIX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46317</v>
      </c>
      <c r="F65" t="inlineStr">
        <is>
          <t>NORRBOTTENS LÄN</t>
        </is>
      </c>
      <c r="G65" t="inlineStr">
        <is>
          <t>KALIX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46317</v>
      </c>
      <c r="F66" t="inlineStr">
        <is>
          <t>NORRBOTTENS LÄN</t>
        </is>
      </c>
      <c r="G66" t="inlineStr">
        <is>
          <t>KALIX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46317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46317</v>
      </c>
      <c r="F68" t="inlineStr">
        <is>
          <t>NORRBOTTENS LÄN</t>
        </is>
      </c>
      <c r="G68" t="inlineStr">
        <is>
          <t>KALIX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44894</v>
      </c>
      <c r="E69" s="1" t="n">
        <v>46317</v>
      </c>
      <c r="F69" t="inlineStr">
        <is>
          <t>NORRBOTTENS LÄN</t>
        </is>
      </c>
      <c r="G69" t="inlineStr">
        <is>
          <t>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46317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46317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46317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45429</v>
      </c>
      <c r="E73" s="1" t="n">
        <v>46317</v>
      </c>
      <c r="F73" t="inlineStr">
        <is>
          <t>NORRBOTTENS LÄN</t>
        </is>
      </c>
      <c r="G73" t="inlineStr">
        <is>
          <t>KALIX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46317</v>
      </c>
      <c r="F74" t="inlineStr">
        <is>
          <t>NORRBOTTENS LÄN</t>
        </is>
      </c>
      <c r="G74" t="inlineStr">
        <is>
          <t>KALIX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46317</v>
      </c>
      <c r="F75" t="inlineStr">
        <is>
          <t>NORRBOTTENS LÄN</t>
        </is>
      </c>
      <c r="G75" t="inlineStr">
        <is>
          <t>KALIX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46003</v>
      </c>
      <c r="E76" s="1" t="n">
        <v>46317</v>
      </c>
      <c r="F76" t="inlineStr">
        <is>
          <t>NORRBOTTENS LÄN</t>
        </is>
      </c>
      <c r="G76" t="inlineStr">
        <is>
          <t>KALIX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55567-2023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46317</v>
      </c>
      <c r="F77" t="inlineStr">
        <is>
          <t>NORRBOTTENS LÄN</t>
        </is>
      </c>
      <c r="G77" t="inlineStr">
        <is>
          <t>KALIX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46317</v>
      </c>
      <c r="F78" t="inlineStr">
        <is>
          <t>NORRBOTTENS LÄN</t>
        </is>
      </c>
      <c r="G78" t="inlineStr">
        <is>
          <t>KALIX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46317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46317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46317</v>
      </c>
      <c r="F81" t="inlineStr">
        <is>
          <t>NORRBOTTENS LÄN</t>
        </is>
      </c>
      <c r="G81" t="inlineStr">
        <is>
          <t>KALIX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46317</v>
      </c>
      <c r="F82" t="inlineStr">
        <is>
          <t>NORRBOTTENS LÄN</t>
        </is>
      </c>
      <c r="G82" t="inlineStr">
        <is>
          <t>KALIX</t>
        </is>
      </c>
      <c r="H82" t="inlineStr">
        <is>
          <t>Kommuner</t>
        </is>
      </c>
      <c r="I82" t="n">
        <v>11.2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46317</v>
      </c>
      <c r="F83" t="inlineStr">
        <is>
          <t>NORRBOTTENS LÄN</t>
        </is>
      </c>
      <c r="G83" t="inlineStr">
        <is>
          <t>KALIX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46317</v>
      </c>
      <c r="F84" t="inlineStr">
        <is>
          <t>NORRBOTTENS LÄN</t>
        </is>
      </c>
      <c r="G84" t="inlineStr">
        <is>
          <t>KALIX</t>
        </is>
      </c>
      <c r="H84" t="inlineStr">
        <is>
          <t>Kommuner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59024-2022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46317</v>
      </c>
      <c r="F85" t="inlineStr">
        <is>
          <t>NORRBOTTENS LÄN</t>
        </is>
      </c>
      <c r="G85" t="inlineStr">
        <is>
          <t>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46013</v>
      </c>
      <c r="E86" s="1" t="n">
        <v>46317</v>
      </c>
      <c r="F86" t="inlineStr">
        <is>
          <t>NORRBOTTENS LÄN</t>
        </is>
      </c>
      <c r="G86" t="inlineStr">
        <is>
          <t>KALIX</t>
        </is>
      </c>
      <c r="H86" t="inlineStr">
        <is>
          <t>Kommuner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46317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46317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46317</v>
      </c>
      <c r="F89" t="inlineStr">
        <is>
          <t>NORRBOTTENS LÄN</t>
        </is>
      </c>
      <c r="G89" t="inlineStr">
        <is>
          <t>KALIX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18008-2024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46317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46317</v>
      </c>
      <c r="F91" t="inlineStr">
        <is>
          <t>NORRBOTTENS LÄN</t>
        </is>
      </c>
      <c r="G91" t="inlineStr">
        <is>
          <t>KALIX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46317</v>
      </c>
      <c r="F92" t="inlineStr">
        <is>
          <t>NORRBOTTENS LÄN</t>
        </is>
      </c>
      <c r="G92" t="inlineStr">
        <is>
          <t>KALIX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46317</v>
      </c>
      <c r="F93" t="inlineStr">
        <is>
          <t>NORRBOTTENS LÄN</t>
        </is>
      </c>
      <c r="G93" t="inlineStr">
        <is>
          <t>KALIX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46317</v>
      </c>
      <c r="F94" t="inlineStr">
        <is>
          <t>NORRBOTTENS LÄN</t>
        </is>
      </c>
      <c r="G94" t="inlineStr">
        <is>
          <t>KALIX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60488-2023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45259</v>
      </c>
      <c r="E95" s="1" t="n">
        <v>46317</v>
      </c>
      <c r="F95" t="inlineStr">
        <is>
          <t>NORRBOTTENS LÄN</t>
        </is>
      </c>
      <c r="G95" t="inlineStr">
        <is>
          <t>KALIX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46317</v>
      </c>
      <c r="F96" t="inlineStr">
        <is>
          <t>NORRBOTTENS LÄN</t>
        </is>
      </c>
      <c r="G96" t="inlineStr">
        <is>
          <t>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46317</v>
      </c>
      <c r="F97" t="inlineStr">
        <is>
          <t>NORRBOTTENS LÄN</t>
        </is>
      </c>
      <c r="G97" t="inlineStr">
        <is>
          <t>KALIX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46317</v>
      </c>
      <c r="F98" t="inlineStr">
        <is>
          <t>NORRBOTTENS LÄN</t>
        </is>
      </c>
      <c r="G98" t="inlineStr">
        <is>
          <t>KALIX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39958-2025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45892</v>
      </c>
      <c r="E99" s="1" t="n">
        <v>46317</v>
      </c>
      <c r="F99" t="inlineStr">
        <is>
          <t>NORRBOTTENS LÄN</t>
        </is>
      </c>
      <c r="G99" t="inlineStr">
        <is>
          <t>KALIX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39959-2025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45892</v>
      </c>
      <c r="E100" s="1" t="n">
        <v>46317</v>
      </c>
      <c r="F100" t="inlineStr">
        <is>
          <t>NORRBOTTENS LÄN</t>
        </is>
      </c>
      <c r="G100" t="inlineStr">
        <is>
          <t>KALIX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46317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17.9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46317</v>
      </c>
      <c r="F102" t="inlineStr">
        <is>
          <t>NORRBOTTENS LÄN</t>
        </is>
      </c>
      <c r="G102" t="inlineStr">
        <is>
          <t>KALIX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46317</v>
      </c>
      <c r="F103" t="inlineStr">
        <is>
          <t>NORRBOTTENS LÄN</t>
        </is>
      </c>
      <c r="G103" t="inlineStr">
        <is>
          <t>KALIX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46317</v>
      </c>
      <c r="F104" t="inlineStr">
        <is>
          <t>NORRBOTTENS LÄN</t>
        </is>
      </c>
      <c r="G104" t="inlineStr">
        <is>
          <t>KALIX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46317</v>
      </c>
      <c r="F105" t="inlineStr">
        <is>
          <t>NORRBOTTENS LÄN</t>
        </is>
      </c>
      <c r="G105" t="inlineStr">
        <is>
          <t>KALIX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46317</v>
      </c>
      <c r="F106" t="inlineStr">
        <is>
          <t>NORRBOTTENS LÄN</t>
        </is>
      </c>
      <c r="G106" t="inlineStr">
        <is>
          <t>KALIX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46317</v>
      </c>
      <c r="F107" t="inlineStr">
        <is>
          <t>NORRBOTTENS LÄN</t>
        </is>
      </c>
      <c r="G107" t="inlineStr">
        <is>
          <t>KALIX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46317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46317</v>
      </c>
      <c r="F109" t="inlineStr">
        <is>
          <t>NORRBOTTENS LÄN</t>
        </is>
      </c>
      <c r="G109" t="inlineStr">
        <is>
          <t>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64027-2025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46021</v>
      </c>
      <c r="E110" s="1" t="n">
        <v>46317</v>
      </c>
      <c r="F110" t="inlineStr">
        <is>
          <t>NORRBOTTENS LÄN</t>
        </is>
      </c>
      <c r="G110" t="inlineStr">
        <is>
          <t>KALIX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66739-2021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44520</v>
      </c>
      <c r="E111" s="1" t="n">
        <v>46317</v>
      </c>
      <c r="F111" t="inlineStr">
        <is>
          <t>NORRBOTTENS LÄN</t>
        </is>
      </c>
      <c r="G111" t="inlineStr">
        <is>
          <t>KALIX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46317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54296-2024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45617</v>
      </c>
      <c r="E113" s="1" t="n">
        <v>46317</v>
      </c>
      <c r="F113" t="inlineStr">
        <is>
          <t>NORRBOTTENS LÄN</t>
        </is>
      </c>
      <c r="G113" t="inlineStr">
        <is>
          <t>KALIX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46317</v>
      </c>
      <c r="F114" t="inlineStr">
        <is>
          <t>NORRBOTTENS LÄN</t>
        </is>
      </c>
      <c r="G114" t="inlineStr">
        <is>
          <t>KALIX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46317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46317</v>
      </c>
      <c r="F116" t="inlineStr">
        <is>
          <t>NORRBOTTENS LÄN</t>
        </is>
      </c>
      <c r="G116" t="inlineStr">
        <is>
          <t>KALIX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46317</v>
      </c>
      <c r="F117" t="inlineStr">
        <is>
          <t>NORRBOTTENS LÄN</t>
        </is>
      </c>
      <c r="G117" t="inlineStr">
        <is>
          <t>KALIX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46317</v>
      </c>
      <c r="F118" t="inlineStr">
        <is>
          <t>NORRBOTTENS LÄN</t>
        </is>
      </c>
      <c r="G118" t="inlineStr">
        <is>
          <t>KALIX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46317</v>
      </c>
      <c r="F119" t="inlineStr">
        <is>
          <t>NORRBOTTENS LÄN</t>
        </is>
      </c>
      <c r="G119" t="inlineStr">
        <is>
          <t>KALIX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45906</v>
      </c>
      <c r="E120" s="1" t="n">
        <v>46317</v>
      </c>
      <c r="F120" t="inlineStr">
        <is>
          <t>NORRBOTTENS LÄN</t>
        </is>
      </c>
      <c r="G120" t="inlineStr">
        <is>
          <t>KALIX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46317</v>
      </c>
      <c r="F121" t="inlineStr">
        <is>
          <t>NORRBOTTENS LÄN</t>
        </is>
      </c>
      <c r="G121" t="inlineStr">
        <is>
          <t>KALIX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46317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46317</v>
      </c>
      <c r="F123" t="inlineStr">
        <is>
          <t>NORRBOTTENS LÄN</t>
        </is>
      </c>
      <c r="G123" t="inlineStr">
        <is>
          <t>KALIX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46317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46317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46317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46317</v>
      </c>
      <c r="F127" t="inlineStr">
        <is>
          <t>NORRBOTTENS LÄN</t>
        </is>
      </c>
      <c r="G127" t="inlineStr">
        <is>
          <t>KALIX</t>
        </is>
      </c>
      <c r="H127" t="inlineStr">
        <is>
          <t>SCA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46317</v>
      </c>
      <c r="F128" t="inlineStr">
        <is>
          <t>NORRBOTTENS LÄN</t>
        </is>
      </c>
      <c r="G128" t="inlineStr">
        <is>
          <t>KALIX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46317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45815</v>
      </c>
      <c r="E130" s="1" t="n">
        <v>46317</v>
      </c>
      <c r="F130" t="inlineStr">
        <is>
          <t>NORRBOTTENS LÄN</t>
        </is>
      </c>
      <c r="G130" t="inlineStr">
        <is>
          <t>KALIX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45815</v>
      </c>
      <c r="E131" s="1" t="n">
        <v>46317</v>
      </c>
      <c r="F131" t="inlineStr">
        <is>
          <t>NORRBOTTENS LÄN</t>
        </is>
      </c>
      <c r="G131" t="inlineStr">
        <is>
          <t>KALIX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46317</v>
      </c>
      <c r="F132" t="inlineStr">
        <is>
          <t>NORRBOTTENS LÄN</t>
        </is>
      </c>
      <c r="G132" t="inlineStr">
        <is>
          <t>KALIX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46317</v>
      </c>
      <c r="F133" t="inlineStr">
        <is>
          <t>NORRBOTTENS LÄN</t>
        </is>
      </c>
      <c r="G133" t="inlineStr">
        <is>
          <t>KALIX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46317</v>
      </c>
      <c r="F134" t="inlineStr">
        <is>
          <t>NORRBOTTENS LÄN</t>
        </is>
      </c>
      <c r="G134" t="inlineStr">
        <is>
          <t>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45815</v>
      </c>
      <c r="E135" s="1" t="n">
        <v>46317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46317</v>
      </c>
      <c r="F136" t="inlineStr">
        <is>
          <t>NORRBOTTENS LÄN</t>
        </is>
      </c>
      <c r="G136" t="inlineStr">
        <is>
          <t>KALIX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46317</v>
      </c>
      <c r="F137" t="inlineStr">
        <is>
          <t>NORRBOTTENS LÄN</t>
        </is>
      </c>
      <c r="G137" t="inlineStr">
        <is>
          <t>KALIX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46317</v>
      </c>
      <c r="F138" t="inlineStr">
        <is>
          <t>NORRBOTTENS LÄN</t>
        </is>
      </c>
      <c r="G138" t="inlineStr">
        <is>
          <t>KALIX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46317</v>
      </c>
      <c r="F139" t="inlineStr">
        <is>
          <t>NORRBOTTENS LÄN</t>
        </is>
      </c>
      <c r="G139" t="inlineStr">
        <is>
          <t>KALIX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46317</v>
      </c>
      <c r="F140" t="inlineStr">
        <is>
          <t>NORRBOTTENS LÄN</t>
        </is>
      </c>
      <c r="G140" t="inlineStr">
        <is>
          <t>KALIX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45915</v>
      </c>
      <c r="E141" s="1" t="n">
        <v>46317</v>
      </c>
      <c r="F141" t="inlineStr">
        <is>
          <t>NORRBOTTENS LÄN</t>
        </is>
      </c>
      <c r="G141" t="inlineStr">
        <is>
          <t>KALIX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46317</v>
      </c>
      <c r="F142" t="inlineStr">
        <is>
          <t>NORRBOTTENS LÄN</t>
        </is>
      </c>
      <c r="G142" t="inlineStr">
        <is>
          <t>KALIX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45815</v>
      </c>
      <c r="E143" s="1" t="n">
        <v>46317</v>
      </c>
      <c r="F143" t="inlineStr">
        <is>
          <t>NORRBOTTENS LÄN</t>
        </is>
      </c>
      <c r="G143" t="inlineStr">
        <is>
          <t>KALIX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46317</v>
      </c>
      <c r="F144" t="inlineStr">
        <is>
          <t>NORRBOTTENS LÄN</t>
        </is>
      </c>
      <c r="G144" t="inlineStr">
        <is>
          <t>KALIX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46317</v>
      </c>
      <c r="F145" t="inlineStr">
        <is>
          <t>NORRBOTTENS LÄN</t>
        </is>
      </c>
      <c r="G145" t="inlineStr">
        <is>
          <t>KALIX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44350-2025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45916</v>
      </c>
      <c r="E146" s="1" t="n">
        <v>46317</v>
      </c>
      <c r="F146" t="inlineStr">
        <is>
          <t>NORRBOTTENS LÄN</t>
        </is>
      </c>
      <c r="G146" t="inlineStr">
        <is>
          <t>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46317</v>
      </c>
      <c r="F147" t="inlineStr">
        <is>
          <t>NORRBOTTENS LÄN</t>
        </is>
      </c>
      <c r="G147" t="inlineStr">
        <is>
          <t>KALIX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46317</v>
      </c>
      <c r="F148" t="inlineStr">
        <is>
          <t>NORRBOTTENS LÄN</t>
        </is>
      </c>
      <c r="G148" t="inlineStr">
        <is>
          <t>KALIX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46317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46317</v>
      </c>
      <c r="F150" t="inlineStr">
        <is>
          <t>NORRBOTTENS LÄN</t>
        </is>
      </c>
      <c r="G150" t="inlineStr">
        <is>
          <t>KALIX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46317</v>
      </c>
      <c r="F151" t="inlineStr">
        <is>
          <t>NORRBOTTENS LÄN</t>
        </is>
      </c>
      <c r="G151" t="inlineStr">
        <is>
          <t>KALIX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46317</v>
      </c>
      <c r="F152" t="inlineStr">
        <is>
          <t>NORRBOTTENS LÄN</t>
        </is>
      </c>
      <c r="G152" t="inlineStr">
        <is>
          <t>KALIX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46317</v>
      </c>
      <c r="F153" t="inlineStr">
        <is>
          <t>NORRBOTTENS LÄN</t>
        </is>
      </c>
      <c r="G153" t="inlineStr">
        <is>
          <t>KALIX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46317</v>
      </c>
      <c r="F154" t="inlineStr">
        <is>
          <t>NORRBOTTENS LÄN</t>
        </is>
      </c>
      <c r="G154" t="inlineStr">
        <is>
          <t>KALIX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46317</v>
      </c>
      <c r="F155" t="inlineStr">
        <is>
          <t>NORRBOTTENS LÄN</t>
        </is>
      </c>
      <c r="G155" t="inlineStr">
        <is>
          <t>KALIX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46317</v>
      </c>
      <c r="F156" t="inlineStr">
        <is>
          <t>NORRBOTTENS LÄN</t>
        </is>
      </c>
      <c r="G156" t="inlineStr">
        <is>
          <t>KALIX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46317</v>
      </c>
      <c r="F157" t="inlineStr">
        <is>
          <t>NORRBOTTENS LÄN</t>
        </is>
      </c>
      <c r="G157" t="inlineStr">
        <is>
          <t>KALIX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46317</v>
      </c>
      <c r="F158" t="inlineStr">
        <is>
          <t>NORRBOTTENS LÄN</t>
        </is>
      </c>
      <c r="G158" t="inlineStr">
        <is>
          <t>KALIX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46317</v>
      </c>
      <c r="F159" t="inlineStr">
        <is>
          <t>NORRBOTTENS LÄN</t>
        </is>
      </c>
      <c r="G159" t="inlineStr">
        <is>
          <t>KALIX</t>
        </is>
      </c>
      <c r="I159" t="n">
        <v>18.4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28846-2025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46317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46317</v>
      </c>
      <c r="F161" t="inlineStr">
        <is>
          <t>NORRBOTTENS LÄN</t>
        </is>
      </c>
      <c r="G161" t="inlineStr">
        <is>
          <t>KALIX</t>
        </is>
      </c>
      <c r="H161" t="inlineStr">
        <is>
          <t>SCA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46317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46317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68438-2021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44529</v>
      </c>
      <c r="E164" s="1" t="n">
        <v>46317</v>
      </c>
      <c r="F164" t="inlineStr">
        <is>
          <t>NORRBOTTENS LÄN</t>
        </is>
      </c>
      <c r="G164" t="inlineStr">
        <is>
          <t>KALIX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46317</v>
      </c>
      <c r="F165" t="inlineStr">
        <is>
          <t>NORRBOTTENS LÄN</t>
        </is>
      </c>
      <c r="G165" t="inlineStr">
        <is>
          <t>KALIX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46317</v>
      </c>
      <c r="F166" t="inlineStr">
        <is>
          <t>NORRBOTTENS LÄN</t>
        </is>
      </c>
      <c r="G166" t="inlineStr">
        <is>
          <t>KALIX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46317</v>
      </c>
      <c r="F167" t="inlineStr">
        <is>
          <t>NORRBOTTENS LÄN</t>
        </is>
      </c>
      <c r="G167" t="inlineStr">
        <is>
          <t>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46317</v>
      </c>
      <c r="F168" t="inlineStr">
        <is>
          <t>NORRBOTTENS LÄN</t>
        </is>
      </c>
      <c r="G168" t="inlineStr">
        <is>
          <t>KALIX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46317</v>
      </c>
      <c r="F169" t="inlineStr">
        <is>
          <t>NORRBOTTENS LÄN</t>
        </is>
      </c>
      <c r="G169" t="inlineStr">
        <is>
          <t>KALIX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46317</v>
      </c>
      <c r="F170" t="inlineStr">
        <is>
          <t>NORRBOTTENS LÄN</t>
        </is>
      </c>
      <c r="G170" t="inlineStr">
        <is>
          <t>KALIX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46317</v>
      </c>
      <c r="F171" t="inlineStr">
        <is>
          <t>NORRBOTTENS LÄN</t>
        </is>
      </c>
      <c r="G171" t="inlineStr">
        <is>
          <t>KALIX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46317</v>
      </c>
      <c r="F172" t="inlineStr">
        <is>
          <t>NORRBOTTENS LÄN</t>
        </is>
      </c>
      <c r="G172" t="inlineStr">
        <is>
          <t>KALIX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31209-2025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46317</v>
      </c>
      <c r="F173" t="inlineStr">
        <is>
          <t>NORRBOTTENS LÄN</t>
        </is>
      </c>
      <c r="G173" t="inlineStr">
        <is>
          <t>KALIX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46317</v>
      </c>
      <c r="F174" t="inlineStr">
        <is>
          <t>NORRBOTTENS LÄN</t>
        </is>
      </c>
      <c r="G174" t="inlineStr">
        <is>
          <t>KALIX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45054</v>
      </c>
      <c r="E175" s="1" t="n">
        <v>46317</v>
      </c>
      <c r="F175" t="inlineStr">
        <is>
          <t>NORRBOTTENS LÄN</t>
        </is>
      </c>
      <c r="G175" t="inlineStr">
        <is>
          <t>KALIX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46317</v>
      </c>
      <c r="F176" t="inlineStr">
        <is>
          <t>NORRBOTTENS LÄN</t>
        </is>
      </c>
      <c r="G176" t="inlineStr">
        <is>
          <t>KALIX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46317</v>
      </c>
      <c r="F177" t="inlineStr">
        <is>
          <t>NORRBOTTENS LÄN</t>
        </is>
      </c>
      <c r="G177" t="inlineStr">
        <is>
          <t>KALIX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46317</v>
      </c>
      <c r="F178" t="inlineStr">
        <is>
          <t>NORRBOTTENS LÄN</t>
        </is>
      </c>
      <c r="G178" t="inlineStr">
        <is>
          <t>KALIX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46317</v>
      </c>
      <c r="F179" t="inlineStr">
        <is>
          <t>NORRBOTTENS LÄN</t>
        </is>
      </c>
      <c r="G179" t="inlineStr">
        <is>
          <t>KALIX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45272</v>
      </c>
      <c r="E180" s="1" t="n">
        <v>46317</v>
      </c>
      <c r="F180" t="inlineStr">
        <is>
          <t>NORRBOTTENS LÄN</t>
        </is>
      </c>
      <c r="G180" t="inlineStr">
        <is>
          <t>KALIX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46317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46317</v>
      </c>
      <c r="F182" t="inlineStr">
        <is>
          <t>NORRBOTTENS LÄN</t>
        </is>
      </c>
      <c r="G182" t="inlineStr">
        <is>
          <t>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46317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46317</v>
      </c>
      <c r="F184" t="inlineStr">
        <is>
          <t>NORRBOTTENS LÄN</t>
        </is>
      </c>
      <c r="G184" t="inlineStr">
        <is>
          <t>KALIX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46317</v>
      </c>
      <c r="F185" t="inlineStr">
        <is>
          <t>NORRBOTTENS LÄN</t>
        </is>
      </c>
      <c r="G185" t="inlineStr">
        <is>
          <t>KALIX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46317</v>
      </c>
      <c r="F186" t="inlineStr">
        <is>
          <t>NORRBOTTENS LÄN</t>
        </is>
      </c>
      <c r="G186" t="inlineStr">
        <is>
          <t>KALIX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46317</v>
      </c>
      <c r="F187" t="inlineStr">
        <is>
          <t>NORRBOTTENS LÄN</t>
        </is>
      </c>
      <c r="G187" t="inlineStr">
        <is>
          <t>KALIX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47983-2025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45932</v>
      </c>
      <c r="E188" s="1" t="n">
        <v>46317</v>
      </c>
      <c r="F188" t="inlineStr">
        <is>
          <t>NORRBOTTENS LÄN</t>
        </is>
      </c>
      <c r="G188" t="inlineStr">
        <is>
          <t>KALIX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46317</v>
      </c>
      <c r="F189" t="inlineStr">
        <is>
          <t>NORRBOTTENS LÄN</t>
        </is>
      </c>
      <c r="G189" t="inlineStr">
        <is>
          <t>KALIX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46317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46317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46317</v>
      </c>
      <c r="F192" t="inlineStr">
        <is>
          <t>NORRBOTTENS LÄN</t>
        </is>
      </c>
      <c r="G192" t="inlineStr">
        <is>
          <t>KALIX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46317</v>
      </c>
      <c r="F193" t="inlineStr">
        <is>
          <t>NORRBOTTENS LÄN</t>
        </is>
      </c>
      <c r="G193" t="inlineStr">
        <is>
          <t>KALIX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46317</v>
      </c>
      <c r="F194" t="inlineStr">
        <is>
          <t>NORRBOTTENS LÄN</t>
        </is>
      </c>
      <c r="G194" t="inlineStr">
        <is>
          <t>KALIX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46317</v>
      </c>
      <c r="F195" t="inlineStr">
        <is>
          <t>NORRBOTTENS LÄN</t>
        </is>
      </c>
      <c r="G195" t="inlineStr">
        <is>
          <t>KALIX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46317</v>
      </c>
      <c r="F196" t="inlineStr">
        <is>
          <t>NORRBOTTENS LÄN</t>
        </is>
      </c>
      <c r="G196" t="inlineStr">
        <is>
          <t>KALIX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46317</v>
      </c>
      <c r="F197" t="inlineStr">
        <is>
          <t>NORRBOTTENS LÄN</t>
        </is>
      </c>
      <c r="G197" t="inlineStr">
        <is>
          <t>KALIX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46317</v>
      </c>
      <c r="F198" t="inlineStr">
        <is>
          <t>NORRBOTTENS LÄN</t>
        </is>
      </c>
      <c r="G198" t="inlineStr">
        <is>
          <t>KALIX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45933</v>
      </c>
      <c r="E199" s="1" t="n">
        <v>46317</v>
      </c>
      <c r="F199" t="inlineStr">
        <is>
          <t>NORRBOTTENS LÄN</t>
        </is>
      </c>
      <c r="G199" t="inlineStr">
        <is>
          <t>KALIX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46317</v>
      </c>
      <c r="F200" t="inlineStr">
        <is>
          <t>NORRBOTTENS LÄN</t>
        </is>
      </c>
      <c r="G200" t="inlineStr">
        <is>
          <t>KALIX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46317</v>
      </c>
      <c r="F201" t="inlineStr">
        <is>
          <t>NORRBOTTENS LÄN</t>
        </is>
      </c>
      <c r="G201" t="inlineStr">
        <is>
          <t>KALIX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45842</v>
      </c>
      <c r="E202" s="1" t="n">
        <v>46317</v>
      </c>
      <c r="F202" t="inlineStr">
        <is>
          <t>NORRBOTTENS LÄN</t>
        </is>
      </c>
      <c r="G202" t="inlineStr">
        <is>
          <t>KALIX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46317</v>
      </c>
      <c r="F203" t="inlineStr">
        <is>
          <t>NORRBOTTENS LÄN</t>
        </is>
      </c>
      <c r="G203" t="inlineStr">
        <is>
          <t>KALIX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46317</v>
      </c>
      <c r="F204" t="inlineStr">
        <is>
          <t>NORRBOTTENS LÄN</t>
        </is>
      </c>
      <c r="G204" t="inlineStr">
        <is>
          <t>KALIX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46317</v>
      </c>
      <c r="F205" t="inlineStr">
        <is>
          <t>NORRBOTTENS LÄN</t>
        </is>
      </c>
      <c r="G205" t="inlineStr">
        <is>
          <t>KALIX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46317</v>
      </c>
      <c r="F206" t="inlineStr">
        <is>
          <t>NORRBOTTENS LÄN</t>
        </is>
      </c>
      <c r="G206" t="inlineStr">
        <is>
          <t>KALIX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46317</v>
      </c>
      <c r="F207" t="inlineStr">
        <is>
          <t>NORRBOTTENS LÄN</t>
        </is>
      </c>
      <c r="G207" t="inlineStr">
        <is>
          <t>KALIX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44776</v>
      </c>
      <c r="E208" s="1" t="n">
        <v>46317</v>
      </c>
      <c r="F208" t="inlineStr">
        <is>
          <t>NORRBOTTENS LÄN</t>
        </is>
      </c>
      <c r="G208" t="inlineStr">
        <is>
          <t>KALIX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46317</v>
      </c>
      <c r="F209" t="inlineStr">
        <is>
          <t>NORRBOTTENS LÄN</t>
        </is>
      </c>
      <c r="G209" t="inlineStr">
        <is>
          <t>KALIX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46752-2024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45583</v>
      </c>
      <c r="E210" s="1" t="n">
        <v>46317</v>
      </c>
      <c r="F210" t="inlineStr">
        <is>
          <t>NORRBOTTENS LÄN</t>
        </is>
      </c>
      <c r="G210" t="inlineStr">
        <is>
          <t>KALIX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46317</v>
      </c>
      <c r="F211" t="inlineStr">
        <is>
          <t>NORRBOTTENS LÄN</t>
        </is>
      </c>
      <c r="G211" t="inlineStr">
        <is>
          <t>KALIX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44894</v>
      </c>
      <c r="E212" s="1" t="n">
        <v>46317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46317</v>
      </c>
      <c r="F213" t="inlineStr">
        <is>
          <t>NORRBOTTENS LÄN</t>
        </is>
      </c>
      <c r="G213" t="inlineStr">
        <is>
          <t>KALIX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44603</v>
      </c>
      <c r="E214" s="1" t="n">
        <v>46317</v>
      </c>
      <c r="F214" t="inlineStr">
        <is>
          <t>NORRBOTTENS LÄN</t>
        </is>
      </c>
      <c r="G214" t="inlineStr">
        <is>
          <t>KALIX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46317</v>
      </c>
      <c r="F215" t="inlineStr">
        <is>
          <t>NORRBOTTENS LÄN</t>
        </is>
      </c>
      <c r="G215" t="inlineStr">
        <is>
          <t>KALIX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46317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46317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46317</v>
      </c>
      <c r="F218" t="inlineStr">
        <is>
          <t>NORRBOTTENS LÄN</t>
        </is>
      </c>
      <c r="G218" t="inlineStr">
        <is>
          <t>KALIX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45851</v>
      </c>
      <c r="E219" s="1" t="n">
        <v>46317</v>
      </c>
      <c r="F219" t="inlineStr">
        <is>
          <t>NORRBOTTENS LÄN</t>
        </is>
      </c>
      <c r="G219" t="inlineStr">
        <is>
          <t>KALIX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46317</v>
      </c>
      <c r="F220" t="inlineStr">
        <is>
          <t>NORRBOTTENS LÄN</t>
        </is>
      </c>
      <c r="G220" t="inlineStr">
        <is>
          <t>KALIX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46317</v>
      </c>
      <c r="F221" t="inlineStr">
        <is>
          <t>NORRBOTTENS LÄN</t>
        </is>
      </c>
      <c r="G221" t="inlineStr">
        <is>
          <t>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46317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46317</v>
      </c>
      <c r="F223" t="inlineStr">
        <is>
          <t>NORRBOTTENS LÄN</t>
        </is>
      </c>
      <c r="G223" t="inlineStr">
        <is>
          <t>KALIX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46317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46317</v>
      </c>
      <c r="F225" t="inlineStr">
        <is>
          <t>NORRBOTTENS LÄN</t>
        </is>
      </c>
      <c r="G225" t="inlineStr">
        <is>
          <t>KALIX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46317</v>
      </c>
      <c r="F226" t="inlineStr">
        <is>
          <t>NORRBOTTENS LÄN</t>
        </is>
      </c>
      <c r="G226" t="inlineStr">
        <is>
          <t>KALIX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46317</v>
      </c>
      <c r="F227" t="inlineStr">
        <is>
          <t>NORRBOTTENS LÄN</t>
        </is>
      </c>
      <c r="G227" t="inlineStr">
        <is>
          <t>KALIX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46317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46317</v>
      </c>
      <c r="F229" t="inlineStr">
        <is>
          <t>NORRBOTTENS LÄN</t>
        </is>
      </c>
      <c r="G229" t="inlineStr">
        <is>
          <t>KALIX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46317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46317</v>
      </c>
      <c r="F231" t="inlineStr">
        <is>
          <t>NORRBOTTENS LÄN</t>
        </is>
      </c>
      <c r="G231" t="inlineStr">
        <is>
          <t>KALIX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46317</v>
      </c>
      <c r="F232" t="inlineStr">
        <is>
          <t>NORRBOTTENS LÄN</t>
        </is>
      </c>
      <c r="G232" t="inlineStr">
        <is>
          <t>KALIX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46317</v>
      </c>
      <c r="F233" t="inlineStr">
        <is>
          <t>NORRBOTTENS LÄN</t>
        </is>
      </c>
      <c r="G233" t="inlineStr">
        <is>
          <t>KALIX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46317</v>
      </c>
      <c r="F234" t="inlineStr">
        <is>
          <t>NORRBOTTENS LÄN</t>
        </is>
      </c>
      <c r="G234" t="inlineStr">
        <is>
          <t>KALIX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46317</v>
      </c>
      <c r="F235" t="inlineStr">
        <is>
          <t>NORRBOTTENS LÄN</t>
        </is>
      </c>
      <c r="G235" t="inlineStr">
        <is>
          <t>KALIX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46317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46317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46317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46317</v>
      </c>
      <c r="F239" t="inlineStr">
        <is>
          <t>NORRBOTTENS LÄN</t>
        </is>
      </c>
      <c r="G239" t="inlineStr">
        <is>
          <t>KALIX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46317</v>
      </c>
      <c r="F240" t="inlineStr">
        <is>
          <t>NORRBOTTENS LÄN</t>
        </is>
      </c>
      <c r="G240" t="inlineStr">
        <is>
          <t>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46317</v>
      </c>
      <c r="F241" t="inlineStr">
        <is>
          <t>NORRBOTTENS LÄN</t>
        </is>
      </c>
      <c r="G241" t="inlineStr">
        <is>
          <t>KALIX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46317</v>
      </c>
      <c r="F242" t="inlineStr">
        <is>
          <t>NORRBOTTENS LÄN</t>
        </is>
      </c>
      <c r="G242" t="inlineStr">
        <is>
          <t>KALIX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46317</v>
      </c>
      <c r="F243" t="inlineStr">
        <is>
          <t>NORRBOTTENS LÄN</t>
        </is>
      </c>
      <c r="G243" t="inlineStr">
        <is>
          <t>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46317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46317</v>
      </c>
      <c r="F245" t="inlineStr">
        <is>
          <t>NORRBOTTENS LÄN</t>
        </is>
      </c>
      <c r="G245" t="inlineStr">
        <is>
          <t>KALIX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45708</v>
      </c>
      <c r="E246" s="1" t="n">
        <v>46317</v>
      </c>
      <c r="F246" t="inlineStr">
        <is>
          <t>NORRBOTTENS LÄN</t>
        </is>
      </c>
      <c r="G246" t="inlineStr">
        <is>
          <t>KALIX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46317</v>
      </c>
      <c r="F247" t="inlineStr">
        <is>
          <t>NORRBOTTENS LÄN</t>
        </is>
      </c>
      <c r="G247" t="inlineStr">
        <is>
          <t>KALIX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46317</v>
      </c>
      <c r="F248" t="inlineStr">
        <is>
          <t>NORRBOTTENS LÄN</t>
        </is>
      </c>
      <c r="G248" t="inlineStr">
        <is>
          <t>KALIX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45259</v>
      </c>
      <c r="E249" s="1" t="n">
        <v>46317</v>
      </c>
      <c r="F249" t="inlineStr">
        <is>
          <t>NORRBOTTENS LÄN</t>
        </is>
      </c>
      <c r="G249" t="inlineStr">
        <is>
          <t>KALIX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45859</v>
      </c>
      <c r="E250" s="1" t="n">
        <v>46317</v>
      </c>
      <c r="F250" t="inlineStr">
        <is>
          <t>NORRBOTTENS LÄN</t>
        </is>
      </c>
      <c r="G250" t="inlineStr">
        <is>
          <t>KALIX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46317</v>
      </c>
      <c r="F251" t="inlineStr">
        <is>
          <t>NORRBOTTENS LÄN</t>
        </is>
      </c>
      <c r="G251" t="inlineStr">
        <is>
          <t>KALIX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46317</v>
      </c>
      <c r="F252" t="inlineStr">
        <is>
          <t>NORRBOTTENS LÄN</t>
        </is>
      </c>
      <c r="G252" t="inlineStr">
        <is>
          <t>KALIX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46317</v>
      </c>
      <c r="F253" t="inlineStr">
        <is>
          <t>NORRBOTTENS LÄN</t>
        </is>
      </c>
      <c r="G253" t="inlineStr">
        <is>
          <t>KALIX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46317</v>
      </c>
      <c r="F254" t="inlineStr">
        <is>
          <t>NORRBOTTENS LÄN</t>
        </is>
      </c>
      <c r="G254" t="inlineStr">
        <is>
          <t>KALIX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46317</v>
      </c>
      <c r="F255" t="inlineStr">
        <is>
          <t>NORRBOTTENS LÄN</t>
        </is>
      </c>
      <c r="G255" t="inlineStr">
        <is>
          <t>KALIX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46317</v>
      </c>
      <c r="F256" t="inlineStr">
        <is>
          <t>NORRBOTTENS LÄN</t>
        </is>
      </c>
      <c r="G256" t="inlineStr">
        <is>
          <t>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46317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46317</v>
      </c>
      <c r="F258" t="inlineStr">
        <is>
          <t>NORRBOTTENS LÄN</t>
        </is>
      </c>
      <c r="G258" t="inlineStr">
        <is>
          <t>KALIX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46317</v>
      </c>
      <c r="F259" t="inlineStr">
        <is>
          <t>NORRBOTTENS LÄN</t>
        </is>
      </c>
      <c r="G259" t="inlineStr">
        <is>
          <t>KALIX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45415</v>
      </c>
      <c r="E260" s="1" t="n">
        <v>46317</v>
      </c>
      <c r="F260" t="inlineStr">
        <is>
          <t>NORRBOTTENS LÄN</t>
        </is>
      </c>
      <c r="G260" t="inlineStr">
        <is>
          <t>KALIX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46317</v>
      </c>
      <c r="F261" t="inlineStr">
        <is>
          <t>NORRBOTTENS LÄN</t>
        </is>
      </c>
      <c r="G261" t="inlineStr">
        <is>
          <t>KALIX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46317</v>
      </c>
      <c r="F262" t="inlineStr">
        <is>
          <t>NORRBOTTENS LÄN</t>
        </is>
      </c>
      <c r="G262" t="inlineStr">
        <is>
          <t>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46317</v>
      </c>
      <c r="F263" t="inlineStr">
        <is>
          <t>NORRBOTTENS LÄN</t>
        </is>
      </c>
      <c r="G263" t="inlineStr">
        <is>
          <t>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45587</v>
      </c>
      <c r="E264" s="1" t="n">
        <v>46317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46317</v>
      </c>
      <c r="F265" t="inlineStr">
        <is>
          <t>NORRBOTTENS LÄN</t>
        </is>
      </c>
      <c r="G265" t="inlineStr">
        <is>
          <t>KALIX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18227-2024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45420</v>
      </c>
      <c r="E266" s="1" t="n">
        <v>46317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45295</v>
      </c>
      <c r="E267" s="1" t="n">
        <v>46317</v>
      </c>
      <c r="F267" t="inlineStr">
        <is>
          <t>NORRBOTTENS LÄN</t>
        </is>
      </c>
      <c r="G267" t="inlineStr">
        <is>
          <t>KALIX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46317</v>
      </c>
      <c r="F268" t="inlineStr">
        <is>
          <t>NORRBOTTENS LÄN</t>
        </is>
      </c>
      <c r="G268" t="inlineStr">
        <is>
          <t>KALIX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46317</v>
      </c>
      <c r="F269" t="inlineStr">
        <is>
          <t>NORRBOTTENS LÄN</t>
        </is>
      </c>
      <c r="G269" t="inlineStr">
        <is>
          <t>KALIX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46317</v>
      </c>
      <c r="F270" t="inlineStr">
        <is>
          <t>NORRBOTTENS LÄN</t>
        </is>
      </c>
      <c r="G270" t="inlineStr">
        <is>
          <t>KALIX</t>
        </is>
      </c>
      <c r="I270" t="n">
        <v>23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46317</v>
      </c>
      <c r="F271" t="inlineStr">
        <is>
          <t>NORRBOTTENS LÄN</t>
        </is>
      </c>
      <c r="G271" t="inlineStr">
        <is>
          <t>KALIX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46317</v>
      </c>
      <c r="F272" t="inlineStr">
        <is>
          <t>NORRBOTTENS LÄN</t>
        </is>
      </c>
      <c r="G272" t="inlineStr">
        <is>
          <t>KALIX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45308</v>
      </c>
      <c r="E273" s="1" t="n">
        <v>46317</v>
      </c>
      <c r="F273" t="inlineStr">
        <is>
          <t>NORRBOTTENS LÄN</t>
        </is>
      </c>
      <c r="G273" t="inlineStr">
        <is>
          <t>KALIX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46317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46317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46317</v>
      </c>
      <c r="F276" t="inlineStr">
        <is>
          <t>NORRBOTTENS LÄN</t>
        </is>
      </c>
      <c r="G276" t="inlineStr">
        <is>
          <t>KALIX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46317</v>
      </c>
      <c r="F277" t="inlineStr">
        <is>
          <t>NORRBOTTENS LÄN</t>
        </is>
      </c>
      <c r="G277" t="inlineStr">
        <is>
          <t>KALIX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46317</v>
      </c>
      <c r="F278" t="inlineStr">
        <is>
          <t>NORRBOTTENS LÄN</t>
        </is>
      </c>
      <c r="G278" t="inlineStr">
        <is>
          <t>KALIX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46317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46317</v>
      </c>
      <c r="F280" t="inlineStr">
        <is>
          <t>NORRBOTTENS LÄN</t>
        </is>
      </c>
      <c r="G280" t="inlineStr">
        <is>
          <t>KALIX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64907-2021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44512</v>
      </c>
      <c r="E281" s="1" t="n">
        <v>46317</v>
      </c>
      <c r="F281" t="inlineStr">
        <is>
          <t>NORRBOTTENS LÄN</t>
        </is>
      </c>
      <c r="G281" t="inlineStr">
        <is>
          <t>KALIX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46317</v>
      </c>
      <c r="F282" t="inlineStr">
        <is>
          <t>NORRBOTTENS LÄN</t>
        </is>
      </c>
      <c r="G282" t="inlineStr">
        <is>
          <t>KALIX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46317</v>
      </c>
      <c r="F283" t="inlineStr">
        <is>
          <t>NORRBOTTENS LÄN</t>
        </is>
      </c>
      <c r="G283" t="inlineStr">
        <is>
          <t>KALIX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46317</v>
      </c>
      <c r="F284" t="inlineStr">
        <is>
          <t>NORRBOTTENS LÄN</t>
        </is>
      </c>
      <c r="G284" t="inlineStr">
        <is>
          <t>KALIX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46317</v>
      </c>
      <c r="F285" t="inlineStr">
        <is>
          <t>NORRBOTTENS LÄN</t>
        </is>
      </c>
      <c r="G285" t="inlineStr">
        <is>
          <t>KALIX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46317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46317</v>
      </c>
      <c r="F287" t="inlineStr">
        <is>
          <t>NORRBOTTENS LÄN</t>
        </is>
      </c>
      <c r="G287" t="inlineStr">
        <is>
          <t>KALIX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46317</v>
      </c>
      <c r="F288" t="inlineStr">
        <is>
          <t>NORRBOTTENS LÄN</t>
        </is>
      </c>
      <c r="G288" t="inlineStr">
        <is>
          <t>KALIX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46317</v>
      </c>
      <c r="F289" t="inlineStr">
        <is>
          <t>NORRBOTTENS LÄN</t>
        </is>
      </c>
      <c r="G289" t="inlineStr">
        <is>
          <t>KALIX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46317</v>
      </c>
      <c r="F290" t="inlineStr">
        <is>
          <t>NORRBOTTENS LÄN</t>
        </is>
      </c>
      <c r="G290" t="inlineStr">
        <is>
          <t>KALIX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46317</v>
      </c>
      <c r="F291" t="inlineStr">
        <is>
          <t>NORRBOTTENS LÄN</t>
        </is>
      </c>
      <c r="G291" t="inlineStr">
        <is>
          <t>KALIX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46317</v>
      </c>
      <c r="F292" t="inlineStr">
        <is>
          <t>NORRBOTTENS LÄN</t>
        </is>
      </c>
      <c r="G292" t="inlineStr">
        <is>
          <t>KALIX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45035</v>
      </c>
      <c r="E293" s="1" t="n">
        <v>46317</v>
      </c>
      <c r="F293" t="inlineStr">
        <is>
          <t>NORRBOTTENS LÄN</t>
        </is>
      </c>
      <c r="G293" t="inlineStr">
        <is>
          <t>KALIX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57117-2024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45629</v>
      </c>
      <c r="E294" s="1" t="n">
        <v>46317</v>
      </c>
      <c r="F294" t="inlineStr">
        <is>
          <t>NORRBOTTENS LÄN</t>
        </is>
      </c>
      <c r="G294" t="inlineStr">
        <is>
          <t>KALIX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46317</v>
      </c>
      <c r="F295" t="inlineStr">
        <is>
          <t>NORRBOTTENS LÄN</t>
        </is>
      </c>
      <c r="G295" t="inlineStr">
        <is>
          <t>KALIX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46317</v>
      </c>
      <c r="F296" t="inlineStr">
        <is>
          <t>NORRBOTTENS LÄN</t>
        </is>
      </c>
      <c r="G296" t="inlineStr">
        <is>
          <t>KALIX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46317</v>
      </c>
      <c r="F297" t="inlineStr">
        <is>
          <t>NORRBOTTENS LÄN</t>
        </is>
      </c>
      <c r="G297" t="inlineStr">
        <is>
          <t>KALIX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25019-2024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45461</v>
      </c>
      <c r="E298" s="1" t="n">
        <v>46317</v>
      </c>
      <c r="F298" t="inlineStr">
        <is>
          <t>NORRBOTTENS LÄN</t>
        </is>
      </c>
      <c r="G298" t="inlineStr">
        <is>
          <t>KALIX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46317</v>
      </c>
      <c r="F299" t="inlineStr">
        <is>
          <t>NORRBOTTENS LÄN</t>
        </is>
      </c>
      <c r="G299" t="inlineStr">
        <is>
          <t>KALIX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46317</v>
      </c>
      <c r="F300" t="inlineStr">
        <is>
          <t>NORRBOTTENS LÄN</t>
        </is>
      </c>
      <c r="G300" t="inlineStr">
        <is>
          <t>KALIX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46317</v>
      </c>
      <c r="F301" t="inlineStr">
        <is>
          <t>NORRBOTTENS LÄN</t>
        </is>
      </c>
      <c r="G301" t="inlineStr">
        <is>
          <t>KALIX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46317</v>
      </c>
      <c r="F302" t="inlineStr">
        <is>
          <t>NORRBOTTENS LÄN</t>
        </is>
      </c>
      <c r="G302" t="inlineStr">
        <is>
          <t>KALIX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9974-2025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45719</v>
      </c>
      <c r="E303" s="1" t="n">
        <v>46317</v>
      </c>
      <c r="F303" t="inlineStr">
        <is>
          <t>NORRBOTTENS LÄN</t>
        </is>
      </c>
      <c r="G303" t="inlineStr">
        <is>
          <t>KALIX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46317</v>
      </c>
      <c r="F304" t="inlineStr">
        <is>
          <t>NORRBOTTENS LÄN</t>
        </is>
      </c>
      <c r="G304" t="inlineStr">
        <is>
          <t>KALIX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45723</v>
      </c>
      <c r="E305" s="1" t="n">
        <v>46317</v>
      </c>
      <c r="F305" t="inlineStr">
        <is>
          <t>NORRBOTTENS LÄN</t>
        </is>
      </c>
      <c r="G305" t="inlineStr">
        <is>
          <t>KALIX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46317</v>
      </c>
      <c r="F306" t="inlineStr">
        <is>
          <t>NORRBOTTENS LÄN</t>
        </is>
      </c>
      <c r="G306" t="inlineStr">
        <is>
          <t>KALIX</t>
        </is>
      </c>
      <c r="I306" t="n">
        <v>12.1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44712</v>
      </c>
      <c r="E307" s="1" t="n">
        <v>46317</v>
      </c>
      <c r="F307" t="inlineStr">
        <is>
          <t>NORRBOTTENS LÄN</t>
        </is>
      </c>
      <c r="G307" t="inlineStr">
        <is>
          <t>KALIX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44980</v>
      </c>
      <c r="E308" s="1" t="n">
        <v>46317</v>
      </c>
      <c r="F308" t="inlineStr">
        <is>
          <t>NORRBOTTENS LÄN</t>
        </is>
      </c>
      <c r="G308" t="inlineStr">
        <is>
          <t>KALIX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46317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46317</v>
      </c>
      <c r="F310" t="inlineStr">
        <is>
          <t>NORRBOTTENS LÄN</t>
        </is>
      </c>
      <c r="G310" t="inlineStr">
        <is>
          <t>KALIX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10547-2026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46077</v>
      </c>
      <c r="E311" s="1" t="n">
        <v>46317</v>
      </c>
      <c r="F311" t="inlineStr">
        <is>
          <t>NORRBOTTENS LÄN</t>
        </is>
      </c>
      <c r="G311" t="inlineStr">
        <is>
          <t>KALIX</t>
        </is>
      </c>
      <c r="I311" t="n">
        <v>16.5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46317</v>
      </c>
      <c r="F312" t="inlineStr">
        <is>
          <t>NORRBOTTENS LÄN</t>
        </is>
      </c>
      <c r="G312" t="inlineStr">
        <is>
          <t>KALIX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46317</v>
      </c>
      <c r="F313" t="inlineStr">
        <is>
          <t>NORRBOTTENS LÄN</t>
        </is>
      </c>
      <c r="G313" t="inlineStr">
        <is>
          <t>KALIX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46317</v>
      </c>
      <c r="F314" t="inlineStr">
        <is>
          <t>NORRBOTTENS LÄN</t>
        </is>
      </c>
      <c r="G314" t="inlineStr">
        <is>
          <t>KALIX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46317</v>
      </c>
      <c r="F315" t="inlineStr">
        <is>
          <t>NORRBOTTENS LÄN</t>
        </is>
      </c>
      <c r="G315" t="inlineStr">
        <is>
          <t>KALIX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46317</v>
      </c>
      <c r="F316" t="inlineStr">
        <is>
          <t>NORRBOTTENS LÄN</t>
        </is>
      </c>
      <c r="G316" t="inlineStr">
        <is>
          <t>KALIX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45044</v>
      </c>
      <c r="E317" s="1" t="n">
        <v>46317</v>
      </c>
      <c r="F317" t="inlineStr">
        <is>
          <t>NORRBOTTENS LÄN</t>
        </is>
      </c>
      <c r="G317" t="inlineStr">
        <is>
          <t>KALIX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45685</v>
      </c>
      <c r="E318" s="1" t="n">
        <v>46317</v>
      </c>
      <c r="F318" t="inlineStr">
        <is>
          <t>NORRBOTTENS LÄN</t>
        </is>
      </c>
      <c r="G318" t="inlineStr">
        <is>
          <t>KALIX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46317</v>
      </c>
      <c r="F319" t="inlineStr">
        <is>
          <t>NORRBOTTENS LÄN</t>
        </is>
      </c>
      <c r="G319" t="inlineStr">
        <is>
          <t>KALIX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46317</v>
      </c>
      <c r="F320" t="inlineStr">
        <is>
          <t>NORRBOTTENS LÄN</t>
        </is>
      </c>
      <c r="G320" t="inlineStr">
        <is>
          <t>KALIX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46317</v>
      </c>
      <c r="F321" t="inlineStr">
        <is>
          <t>NORRBOTTENS LÄN</t>
        </is>
      </c>
      <c r="G321" t="inlineStr">
        <is>
          <t>KALIX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46091</v>
      </c>
      <c r="E322" s="1" t="n">
        <v>46317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46317</v>
      </c>
      <c r="F323" t="inlineStr">
        <is>
          <t>NORRBOTTENS LÄN</t>
        </is>
      </c>
      <c r="G323" t="inlineStr">
        <is>
          <t>KALIX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46091</v>
      </c>
      <c r="E324" s="1" t="n">
        <v>46317</v>
      </c>
      <c r="F324" t="inlineStr">
        <is>
          <t>NORRBOTTENS LÄN</t>
        </is>
      </c>
      <c r="G324" t="inlineStr">
        <is>
          <t>KALIX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46317</v>
      </c>
      <c r="F325" t="inlineStr">
        <is>
          <t>NORRBOTTENS LÄN</t>
        </is>
      </c>
      <c r="G325" t="inlineStr">
        <is>
          <t>KALIX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46317</v>
      </c>
      <c r="F326" t="inlineStr">
        <is>
          <t>NORRBOTTENS LÄN</t>
        </is>
      </c>
      <c r="G326" t="inlineStr">
        <is>
          <t>KALIX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46097</v>
      </c>
      <c r="E327" s="1" t="n">
        <v>46317</v>
      </c>
      <c r="F327" t="inlineStr">
        <is>
          <t>NORRBOTTENS LÄN</t>
        </is>
      </c>
      <c r="G327" t="inlineStr">
        <is>
          <t>KALIX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45054</v>
      </c>
      <c r="E328" s="1" t="n">
        <v>46317</v>
      </c>
      <c r="F328" t="inlineStr">
        <is>
          <t>NORRBOTTENS LÄN</t>
        </is>
      </c>
      <c r="G328" t="inlineStr">
        <is>
          <t>KALIX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46317</v>
      </c>
      <c r="F329" t="inlineStr">
        <is>
          <t>NORRBOTTENS LÄN</t>
        </is>
      </c>
      <c r="G329" t="inlineStr">
        <is>
          <t>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46317</v>
      </c>
      <c r="F330" t="inlineStr">
        <is>
          <t>NORRBOTTENS LÄN</t>
        </is>
      </c>
      <c r="G330" t="inlineStr">
        <is>
          <t>KALIX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46317</v>
      </c>
      <c r="F331" t="inlineStr">
        <is>
          <t>NORRBOTTENS LÄN</t>
        </is>
      </c>
      <c r="G331" t="inlineStr">
        <is>
          <t>KALIX</t>
        </is>
      </c>
      <c r="I331" t="n">
        <v>17.7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44733</v>
      </c>
      <c r="E332" s="1" t="n">
        <v>46317</v>
      </c>
      <c r="F332" t="inlineStr">
        <is>
          <t>NORRBOTTENS LÄN</t>
        </is>
      </c>
      <c r="G332" t="inlineStr">
        <is>
          <t>KALIX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45210</v>
      </c>
      <c r="E333" s="1" t="n">
        <v>46317</v>
      </c>
      <c r="F333" t="inlineStr">
        <is>
          <t>NORRBOTTENS LÄN</t>
        </is>
      </c>
      <c r="G333" t="inlineStr">
        <is>
          <t>KALIX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46317</v>
      </c>
      <c r="F334" t="inlineStr">
        <is>
          <t>NORRBOTTENS LÄN</t>
        </is>
      </c>
      <c r="G334" t="inlineStr">
        <is>
          <t>KALIX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46317</v>
      </c>
      <c r="F335" t="inlineStr">
        <is>
          <t>NORRBOTTENS LÄN</t>
        </is>
      </c>
      <c r="G335" t="inlineStr">
        <is>
          <t>KALIX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45541</v>
      </c>
      <c r="E336" s="1" t="n">
        <v>46317</v>
      </c>
      <c r="F336" t="inlineStr">
        <is>
          <t>NORRBOTTENS LÄN</t>
        </is>
      </c>
      <c r="G336" t="inlineStr">
        <is>
          <t>KALIX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46317</v>
      </c>
      <c r="F337" t="inlineStr">
        <is>
          <t>NORRBOTTENS LÄN</t>
        </is>
      </c>
      <c r="G337" t="inlineStr">
        <is>
          <t>KALIX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46317</v>
      </c>
      <c r="F338" t="inlineStr">
        <is>
          <t>NORRBOTTENS LÄN</t>
        </is>
      </c>
      <c r="G338" t="inlineStr">
        <is>
          <t>KALIX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46317</v>
      </c>
      <c r="F339" t="inlineStr">
        <is>
          <t>NORRBOTTENS LÄN</t>
        </is>
      </c>
      <c r="G339" t="inlineStr">
        <is>
          <t>KALIX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13819-2025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46317</v>
      </c>
      <c r="F340" t="inlineStr">
        <is>
          <t>NORRBOTTENS LÄN</t>
        </is>
      </c>
      <c r="G340" t="inlineStr">
        <is>
          <t>KALIX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46317</v>
      </c>
      <c r="F341" t="inlineStr">
        <is>
          <t>NORRBOTTENS LÄN</t>
        </is>
      </c>
      <c r="G341" t="inlineStr">
        <is>
          <t>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45054</v>
      </c>
      <c r="E342" s="1" t="n">
        <v>46317</v>
      </c>
      <c r="F342" t="inlineStr">
        <is>
          <t>NORRBOTTENS LÄN</t>
        </is>
      </c>
      <c r="G342" t="inlineStr">
        <is>
          <t>KALIX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46317</v>
      </c>
      <c r="F343" t="inlineStr">
        <is>
          <t>NORRBOTTENS LÄN</t>
        </is>
      </c>
      <c r="G343" t="inlineStr">
        <is>
          <t>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45295</v>
      </c>
      <c r="E344" s="1" t="n">
        <v>46317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45406</v>
      </c>
      <c r="E345" s="1" t="n">
        <v>46317</v>
      </c>
      <c r="F345" t="inlineStr">
        <is>
          <t>NORRBOTTENS LÄN</t>
        </is>
      </c>
      <c r="G345" t="inlineStr">
        <is>
          <t>KALIX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46317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46317</v>
      </c>
      <c r="F347" t="inlineStr">
        <is>
          <t>NORRBOTTENS LÄN</t>
        </is>
      </c>
      <c r="G347" t="inlineStr">
        <is>
          <t>KALIX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44901</v>
      </c>
      <c r="E348" s="1" t="n">
        <v>46317</v>
      </c>
      <c r="F348" t="inlineStr">
        <is>
          <t>NORRBOTTENS LÄN</t>
        </is>
      </c>
      <c r="G348" t="inlineStr">
        <is>
          <t>KALIX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46317</v>
      </c>
      <c r="F349" t="inlineStr">
        <is>
          <t>NORRBOTTENS LÄN</t>
        </is>
      </c>
      <c r="G349" t="inlineStr">
        <is>
          <t>KALIX</t>
        </is>
      </c>
      <c r="H349" t="inlineStr">
        <is>
          <t>SCA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46317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17.5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46134</v>
      </c>
      <c r="E351" s="1" t="n">
        <v>46317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44992</v>
      </c>
      <c r="E352" s="1" t="n">
        <v>46317</v>
      </c>
      <c r="F352" t="inlineStr">
        <is>
          <t>NORRBOTTENS LÄN</t>
        </is>
      </c>
      <c r="G352" t="inlineStr">
        <is>
          <t>KALIX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62139-2023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45266</v>
      </c>
      <c r="E353" s="1" t="n">
        <v>46317</v>
      </c>
      <c r="F353" t="inlineStr">
        <is>
          <t>NORRBOTTENS LÄN</t>
        </is>
      </c>
      <c r="G353" t="inlineStr">
        <is>
          <t>KALIX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46317</v>
      </c>
      <c r="F354" t="inlineStr">
        <is>
          <t>NORRBOTTENS LÄN</t>
        </is>
      </c>
      <c r="G354" t="inlineStr">
        <is>
          <t>KALIX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57939-2023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45247</v>
      </c>
      <c r="E355" s="1" t="n">
        <v>46317</v>
      </c>
      <c r="F355" t="inlineStr">
        <is>
          <t>NORRBOTTENS LÄN</t>
        </is>
      </c>
      <c r="G355" t="inlineStr">
        <is>
          <t>KALIX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46317</v>
      </c>
      <c r="F356" t="inlineStr">
        <is>
          <t>NORRBOTTENS LÄN</t>
        </is>
      </c>
      <c r="G356" t="inlineStr">
        <is>
          <t>KALIX</t>
        </is>
      </c>
      <c r="H356" t="inlineStr">
        <is>
          <t>Sveaskog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69886-2021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44532</v>
      </c>
      <c r="E357" s="1" t="n">
        <v>46317</v>
      </c>
      <c r="F357" t="inlineStr">
        <is>
          <t>NORRBOTTENS LÄN</t>
        </is>
      </c>
      <c r="G357" t="inlineStr">
        <is>
          <t>KALIX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46135</v>
      </c>
      <c r="E358" s="1" t="n">
        <v>46317</v>
      </c>
      <c r="F358" t="inlineStr">
        <is>
          <t>NORRBOTTENS LÄN</t>
        </is>
      </c>
      <c r="G358" t="inlineStr">
        <is>
          <t>KALIX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45079</v>
      </c>
      <c r="E359" s="1" t="n">
        <v>46317</v>
      </c>
      <c r="F359" t="inlineStr">
        <is>
          <t>NORRBOTTENS LÄN</t>
        </is>
      </c>
      <c r="G359" t="inlineStr">
        <is>
          <t>KALIX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44936</v>
      </c>
      <c r="E360" s="1" t="n">
        <v>46317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46317</v>
      </c>
      <c r="F361" t="inlineStr">
        <is>
          <t>NORRBOTTENS LÄN</t>
        </is>
      </c>
      <c r="G361" t="inlineStr">
        <is>
          <t>KALIX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46317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46317</v>
      </c>
      <c r="F363" t="inlineStr">
        <is>
          <t>NORRBOTTENS LÄN</t>
        </is>
      </c>
      <c r="G363" t="inlineStr">
        <is>
          <t>KALIX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22480-2024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45446</v>
      </c>
      <c r="E364" s="1" t="n">
        <v>46317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44903</v>
      </c>
      <c r="E365" s="1" t="n">
        <v>46317</v>
      </c>
      <c r="F365" t="inlineStr">
        <is>
          <t>NORRBOTTENS LÄN</t>
        </is>
      </c>
      <c r="G365" t="inlineStr">
        <is>
          <t>KALIX</t>
        </is>
      </c>
      <c r="I365" t="n">
        <v>17.8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46317</v>
      </c>
      <c r="F366" t="inlineStr">
        <is>
          <t>NORRBOTTENS LÄN</t>
        </is>
      </c>
      <c r="G366" t="inlineStr">
        <is>
          <t>KALIX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45573</v>
      </c>
      <c r="E367" s="1" t="n">
        <v>46317</v>
      </c>
      <c r="F367" t="inlineStr">
        <is>
          <t>NORRBOTTENS LÄN</t>
        </is>
      </c>
      <c r="G367" t="inlineStr">
        <is>
          <t>KALIX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46317</v>
      </c>
      <c r="F368" t="inlineStr">
        <is>
          <t>NORRBOTTENS LÄN</t>
        </is>
      </c>
      <c r="G368" t="inlineStr">
        <is>
          <t>KALIX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45457</v>
      </c>
      <c r="E369" s="1" t="n">
        <v>46317</v>
      </c>
      <c r="F369" t="inlineStr">
        <is>
          <t>NORRBOTTENS LÄN</t>
        </is>
      </c>
      <c r="G369" t="inlineStr">
        <is>
          <t>KALIX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45602</v>
      </c>
      <c r="E370" s="1" t="n">
        <v>46317</v>
      </c>
      <c r="F370" t="inlineStr">
        <is>
          <t>NORRBOTTENS LÄN</t>
        </is>
      </c>
      <c r="G370" t="inlineStr">
        <is>
          <t>KALIX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46317</v>
      </c>
      <c r="F371" t="inlineStr">
        <is>
          <t>NORRBOTTENS LÄN</t>
        </is>
      </c>
      <c r="G371" t="inlineStr">
        <is>
          <t>KALIX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9193-2026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46070</v>
      </c>
      <c r="E372" s="1" t="n">
        <v>46317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44756</v>
      </c>
      <c r="E373" s="1" t="n">
        <v>46317</v>
      </c>
      <c r="F373" t="inlineStr">
        <is>
          <t>NORRBOTTENS LÄN</t>
        </is>
      </c>
      <c r="G373" t="inlineStr">
        <is>
          <t>KALIX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45708</v>
      </c>
      <c r="E374" s="1" t="n">
        <v>46317</v>
      </c>
      <c r="F374" t="inlineStr">
        <is>
          <t>NORRBOTTENS LÄN</t>
        </is>
      </c>
      <c r="G374" t="inlineStr">
        <is>
          <t>KALIX</t>
        </is>
      </c>
      <c r="I374" t="n">
        <v>16.2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44580</v>
      </c>
      <c r="E375" s="1" t="n">
        <v>46317</v>
      </c>
      <c r="F375" t="inlineStr">
        <is>
          <t>NORRBOTTENS LÄN</t>
        </is>
      </c>
      <c r="G375" t="inlineStr">
        <is>
          <t>KALIX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46317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67004-2021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44522</v>
      </c>
      <c r="E377" s="1" t="n">
        <v>46317</v>
      </c>
      <c r="F377" t="inlineStr">
        <is>
          <t>NORRBOTTENS LÄN</t>
        </is>
      </c>
      <c r="G377" t="inlineStr">
        <is>
          <t>KALIX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46317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46317</v>
      </c>
      <c r="F379" t="inlineStr">
        <is>
          <t>NORRBOTTENS LÄN</t>
        </is>
      </c>
      <c r="G379" t="inlineStr">
        <is>
          <t>KALIX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46317</v>
      </c>
      <c r="F380" t="inlineStr">
        <is>
          <t>NORRBOTTENS LÄN</t>
        </is>
      </c>
      <c r="G380" t="inlineStr">
        <is>
          <t>KALIX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45754</v>
      </c>
      <c r="E381" s="1" t="n">
        <v>46317</v>
      </c>
      <c r="F381" t="inlineStr">
        <is>
          <t>NORRBOTTENS LÄN</t>
        </is>
      </c>
      <c r="G381" t="inlineStr">
        <is>
          <t>KALIX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45585</v>
      </c>
      <c r="E382" s="1" t="n">
        <v>46317</v>
      </c>
      <c r="F382" t="inlineStr">
        <is>
          <t>NORRBOTTENS LÄN</t>
        </is>
      </c>
      <c r="G382" t="inlineStr">
        <is>
          <t>KALIX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46317</v>
      </c>
      <c r="F383" t="inlineStr">
        <is>
          <t>NORRBOTTENS LÄN</t>
        </is>
      </c>
      <c r="G383" t="inlineStr">
        <is>
          <t>KALIX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45470</v>
      </c>
      <c r="E384" s="1" t="n">
        <v>46317</v>
      </c>
      <c r="F384" t="inlineStr">
        <is>
          <t>NORRBOTTENS LÄN</t>
        </is>
      </c>
      <c r="G384" t="inlineStr">
        <is>
          <t>KALIX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46317</v>
      </c>
      <c r="F385" t="inlineStr">
        <is>
          <t>NORRBOTTENS LÄN</t>
        </is>
      </c>
      <c r="G385" t="inlineStr">
        <is>
          <t>KALIX</t>
        </is>
      </c>
      <c r="I385" t="n">
        <v>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45191</v>
      </c>
      <c r="E386" s="1" t="n">
        <v>46317</v>
      </c>
      <c r="F386" t="inlineStr">
        <is>
          <t>NORRBOTTENS LÄN</t>
        </is>
      </c>
      <c r="G386" t="inlineStr">
        <is>
          <t>KALIX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45719</v>
      </c>
      <c r="E387" s="1" t="n">
        <v>46317</v>
      </c>
      <c r="F387" t="inlineStr">
        <is>
          <t>NORRBOTTENS LÄN</t>
        </is>
      </c>
      <c r="G387" t="inlineStr">
        <is>
          <t>KALIX</t>
        </is>
      </c>
      <c r="I387" t="n">
        <v>11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45719</v>
      </c>
      <c r="E388" s="1" t="n">
        <v>46317</v>
      </c>
      <c r="F388" t="inlineStr">
        <is>
          <t>NORRBOTTENS LÄN</t>
        </is>
      </c>
      <c r="G388" t="inlineStr">
        <is>
          <t>KALIX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46317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46317</v>
      </c>
      <c r="F390" t="inlineStr">
        <is>
          <t>NORRBOTTENS LÄN</t>
        </is>
      </c>
      <c r="G390" t="inlineStr">
        <is>
          <t>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59884-2024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45641</v>
      </c>
      <c r="E391" s="1" t="n">
        <v>46317</v>
      </c>
      <c r="F391" t="inlineStr">
        <is>
          <t>NORRBOTTENS LÄN</t>
        </is>
      </c>
      <c r="G391" t="inlineStr">
        <is>
          <t>KALIX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13537-2022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44648</v>
      </c>
      <c r="E392" s="1" t="n">
        <v>46317</v>
      </c>
      <c r="F392" t="inlineStr">
        <is>
          <t>NORRBOTTENS LÄN</t>
        </is>
      </c>
      <c r="G392" t="inlineStr">
        <is>
          <t>KALIX</t>
        </is>
      </c>
      <c r="H392" t="inlineStr">
        <is>
          <t>BillerudKorsnäs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21169-2026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46146</v>
      </c>
      <c r="E393" s="1" t="n">
        <v>46317</v>
      </c>
      <c r="F393" t="inlineStr">
        <is>
          <t>NORRBOTTENS LÄN</t>
        </is>
      </c>
      <c r="G393" t="inlineStr">
        <is>
          <t>KALIX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39003-2023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45163</v>
      </c>
      <c r="E394" s="1" t="n">
        <v>46317</v>
      </c>
      <c r="F394" t="inlineStr">
        <is>
          <t>NORRBOTTENS LÄN</t>
        </is>
      </c>
      <c r="G394" t="inlineStr">
        <is>
          <t>KALIX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11856-2023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44995</v>
      </c>
      <c r="E395" s="1" t="n">
        <v>46317</v>
      </c>
      <c r="F395" t="inlineStr">
        <is>
          <t>NORRBOTTENS LÄN</t>
        </is>
      </c>
      <c r="G395" t="inlineStr">
        <is>
          <t>KALIX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45667</v>
      </c>
      <c r="E396" s="1" t="n">
        <v>46317</v>
      </c>
      <c r="F396" t="inlineStr">
        <is>
          <t>NORRBOTTENS LÄN</t>
        </is>
      </c>
      <c r="G396" t="inlineStr">
        <is>
          <t>KALIX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46081</v>
      </c>
      <c r="E397" s="1" t="n">
        <v>46317</v>
      </c>
      <c r="F397" t="inlineStr">
        <is>
          <t>NORRBOTTENS LÄN</t>
        </is>
      </c>
      <c r="G397" t="inlineStr">
        <is>
          <t>KALIX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46154</v>
      </c>
      <c r="E398" s="1" t="n">
        <v>46317</v>
      </c>
      <c r="F398" t="inlineStr">
        <is>
          <t>NORRBOTTENS LÄN</t>
        </is>
      </c>
      <c r="G398" t="inlineStr">
        <is>
          <t>KALIX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46317</v>
      </c>
      <c r="F399" t="inlineStr">
        <is>
          <t>NORRBOTTENS LÄN</t>
        </is>
      </c>
      <c r="G399" t="inlineStr">
        <is>
          <t>KALIX</t>
        </is>
      </c>
      <c r="H399" t="inlineStr">
        <is>
          <t>Kommuner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22336-2026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46154</v>
      </c>
      <c r="E400" s="1" t="n">
        <v>46317</v>
      </c>
      <c r="F400" t="inlineStr">
        <is>
          <t>NORRBOTTENS LÄN</t>
        </is>
      </c>
      <c r="G400" t="inlineStr">
        <is>
          <t>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46317</v>
      </c>
      <c r="F401" t="inlineStr">
        <is>
          <t>NORRBOTTENS LÄN</t>
        </is>
      </c>
      <c r="G401" t="inlineStr">
        <is>
          <t>KALIX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46317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46317</v>
      </c>
      <c r="F403" t="inlineStr">
        <is>
          <t>NORRBOTTENS LÄN</t>
        </is>
      </c>
      <c r="G403" t="inlineStr">
        <is>
          <t>KALIX</t>
        </is>
      </c>
      <c r="I403" t="n">
        <v>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46154</v>
      </c>
      <c r="E404" s="1" t="n">
        <v>46317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46317</v>
      </c>
      <c r="F405" t="inlineStr">
        <is>
          <t>NORRBOTTENS LÄN</t>
        </is>
      </c>
      <c r="G405" t="inlineStr">
        <is>
          <t>KALIX</t>
        </is>
      </c>
      <c r="H405" t="inlineStr">
        <is>
          <t>Kommuner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45679</v>
      </c>
      <c r="E406" s="1" t="n">
        <v>46317</v>
      </c>
      <c r="F406" t="inlineStr">
        <is>
          <t>NORRBOTTENS LÄN</t>
        </is>
      </c>
      <c r="G406" t="inlineStr">
        <is>
          <t>KALIX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46317</v>
      </c>
      <c r="F407" t="inlineStr">
        <is>
          <t>NORRBOTTENS LÄN</t>
        </is>
      </c>
      <c r="G407" t="inlineStr">
        <is>
          <t>KALIX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46317</v>
      </c>
      <c r="F408" t="inlineStr">
        <is>
          <t>NORRBOTTENS LÄN</t>
        </is>
      </c>
      <c r="G408" t="inlineStr">
        <is>
          <t>KALIX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46317</v>
      </c>
      <c r="F409" t="inlineStr">
        <is>
          <t>NORRBOTTENS LÄN</t>
        </is>
      </c>
      <c r="G409" t="inlineStr">
        <is>
          <t>KALIX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45204</v>
      </c>
      <c r="E410" s="1" t="n">
        <v>46317</v>
      </c>
      <c r="F410" t="inlineStr">
        <is>
          <t>NORRBOTTENS LÄN</t>
        </is>
      </c>
      <c r="G410" t="inlineStr">
        <is>
          <t>KALIX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46317</v>
      </c>
      <c r="F411" t="inlineStr">
        <is>
          <t>NORRBOTTENS LÄN</t>
        </is>
      </c>
      <c r="G411" t="inlineStr">
        <is>
          <t>KALIX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45392</v>
      </c>
      <c r="E412" s="1" t="n">
        <v>46317</v>
      </c>
      <c r="F412" t="inlineStr">
        <is>
          <t>NORRBOTTENS LÄN</t>
        </is>
      </c>
      <c r="G412" t="inlineStr">
        <is>
          <t>KALIX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46317</v>
      </c>
      <c r="F413" t="inlineStr">
        <is>
          <t>NORRBOTTENS LÄN</t>
        </is>
      </c>
      <c r="G413" t="inlineStr">
        <is>
          <t>KALIX</t>
        </is>
      </c>
      <c r="I413" t="n">
        <v>14.8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46317</v>
      </c>
      <c r="F414" t="inlineStr">
        <is>
          <t>NORRBOTTENS LÄN</t>
        </is>
      </c>
      <c r="G414" t="inlineStr">
        <is>
          <t>KALIX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46317</v>
      </c>
      <c r="F415" t="inlineStr">
        <is>
          <t>NORRBOTTENS LÄN</t>
        </is>
      </c>
      <c r="G415" t="inlineStr">
        <is>
          <t>KALIX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46317</v>
      </c>
      <c r="F416" t="inlineStr">
        <is>
          <t>NORRBOTTENS LÄN</t>
        </is>
      </c>
      <c r="G416" t="inlineStr">
        <is>
          <t>KALIX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30814-2023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45112</v>
      </c>
      <c r="E417" s="1" t="n">
        <v>46317</v>
      </c>
      <c r="F417" t="inlineStr">
        <is>
          <t>NORRBOTTENS LÄN</t>
        </is>
      </c>
      <c r="G417" t="inlineStr">
        <is>
          <t>KALIX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55539-2024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45622</v>
      </c>
      <c r="E418" s="1" t="n">
        <v>46317</v>
      </c>
      <c r="F418" t="inlineStr">
        <is>
          <t>NORRBOTTENS LÄN</t>
        </is>
      </c>
      <c r="G418" t="inlineStr">
        <is>
          <t>KALIX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46317</v>
      </c>
      <c r="F419" t="inlineStr">
        <is>
          <t>NORRBOTTENS LÄN</t>
        </is>
      </c>
      <c r="G419" t="inlineStr">
        <is>
          <t>KALIX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46317</v>
      </c>
      <c r="F420" t="inlineStr">
        <is>
          <t>NORRBOTTENS LÄN</t>
        </is>
      </c>
      <c r="G420" t="inlineStr">
        <is>
          <t>KALIX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46317</v>
      </c>
      <c r="F421" t="inlineStr">
        <is>
          <t>NORRBOTTENS LÄN</t>
        </is>
      </c>
      <c r="G421" t="inlineStr">
        <is>
          <t>KALIX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45175</v>
      </c>
      <c r="E422" s="1" t="n">
        <v>46317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45639</v>
      </c>
      <c r="E423" s="1" t="n">
        <v>46317</v>
      </c>
      <c r="F423" t="inlineStr">
        <is>
          <t>NORRBOTTENS LÄN</t>
        </is>
      </c>
      <c r="G423" t="inlineStr">
        <is>
          <t>KALIX</t>
        </is>
      </c>
      <c r="I423" t="n">
        <v>63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46317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45415</v>
      </c>
      <c r="E425" s="1" t="n">
        <v>46317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8.1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46317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44749</v>
      </c>
      <c r="E427" s="1" t="n">
        <v>46317</v>
      </c>
      <c r="F427" t="inlineStr">
        <is>
          <t>NORRBOTTENS LÄN</t>
        </is>
      </c>
      <c r="G427" t="inlineStr">
        <is>
          <t>KALIX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24033-2026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46167</v>
      </c>
      <c r="E428" s="1" t="n">
        <v>46317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46317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46317</v>
      </c>
      <c r="F430" t="inlineStr">
        <is>
          <t>NORRBOTTENS LÄN</t>
        </is>
      </c>
      <c r="G430" t="inlineStr">
        <is>
          <t>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46317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46317</v>
      </c>
      <c r="F432" t="inlineStr">
        <is>
          <t>NORRBOTTENS LÄN</t>
        </is>
      </c>
      <c r="G432" t="inlineStr">
        <is>
          <t>KALIX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60926-2023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45261</v>
      </c>
      <c r="E433" s="1" t="n">
        <v>46317</v>
      </c>
      <c r="F433" t="inlineStr">
        <is>
          <t>NORRBOTTENS LÄN</t>
        </is>
      </c>
      <c r="G433" t="inlineStr">
        <is>
          <t>KALIX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46317</v>
      </c>
      <c r="F434" t="inlineStr">
        <is>
          <t>NORRBOTTENS LÄN</t>
        </is>
      </c>
      <c r="G434" t="inlineStr">
        <is>
          <t>KALIX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46317</v>
      </c>
      <c r="F435" t="inlineStr">
        <is>
          <t>NORRBOTTENS LÄN</t>
        </is>
      </c>
      <c r="G435" t="inlineStr">
        <is>
          <t>KALIX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46317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46317</v>
      </c>
      <c r="F437" t="inlineStr">
        <is>
          <t>NORRBOTTENS LÄN</t>
        </is>
      </c>
      <c r="G437" t="inlineStr">
        <is>
          <t>KALIX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45314</v>
      </c>
      <c r="E438" s="1" t="n">
        <v>46317</v>
      </c>
      <c r="F438" t="inlineStr">
        <is>
          <t>NORRBOTTENS LÄN</t>
        </is>
      </c>
      <c r="G438" t="inlineStr">
        <is>
          <t>KALIX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46317</v>
      </c>
      <c r="F439" t="inlineStr">
        <is>
          <t>NORRBOTTENS LÄN</t>
        </is>
      </c>
      <c r="G439" t="inlineStr">
        <is>
          <t>KALIX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23878-2022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44722</v>
      </c>
      <c r="E440" s="1" t="n">
        <v>46317</v>
      </c>
      <c r="F440" t="inlineStr">
        <is>
          <t>NORRBOTTENS LÄN</t>
        </is>
      </c>
      <c r="G440" t="inlineStr">
        <is>
          <t>KALIX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46317</v>
      </c>
      <c r="F441" t="inlineStr">
        <is>
          <t>NORRBOTTENS LÄN</t>
        </is>
      </c>
      <c r="G441" t="inlineStr">
        <is>
          <t>KALIX</t>
        </is>
      </c>
      <c r="H441" t="inlineStr">
        <is>
          <t>Sveaskog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21638-2022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44706</v>
      </c>
      <c r="E442" s="1" t="n">
        <v>46317</v>
      </c>
      <c r="F442" t="inlineStr">
        <is>
          <t>NORRBOTTENS LÄN</t>
        </is>
      </c>
      <c r="G442" t="inlineStr">
        <is>
          <t>KALIX</t>
        </is>
      </c>
      <c r="H442" t="inlineStr">
        <is>
          <t>Sveaskog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46317</v>
      </c>
      <c r="F443" t="inlineStr">
        <is>
          <t>NORRBOTTENS LÄN</t>
        </is>
      </c>
      <c r="G443" t="inlineStr">
        <is>
          <t>KALIX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58765-2023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45251</v>
      </c>
      <c r="E444" s="1" t="n">
        <v>46317</v>
      </c>
      <c r="F444" t="inlineStr">
        <is>
          <t>NORRBOTTENS LÄN</t>
        </is>
      </c>
      <c r="G444" t="inlineStr">
        <is>
          <t>KALIX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46317</v>
      </c>
      <c r="F445" t="inlineStr">
        <is>
          <t>NORRBOTTENS LÄN</t>
        </is>
      </c>
      <c r="G445" t="inlineStr">
        <is>
          <t>KALIX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45044</v>
      </c>
      <c r="E446" s="1" t="n">
        <v>46317</v>
      </c>
      <c r="F446" t="inlineStr">
        <is>
          <t>NORRBOTTENS LÄN</t>
        </is>
      </c>
      <c r="G446" t="inlineStr">
        <is>
          <t>KALIX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46317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46317</v>
      </c>
      <c r="F448" t="inlineStr">
        <is>
          <t>NORRBOTTENS LÄN</t>
        </is>
      </c>
      <c r="G448" t="inlineStr">
        <is>
          <t>KALIX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7196-2023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44970</v>
      </c>
      <c r="E449" s="1" t="n">
        <v>46317</v>
      </c>
      <c r="F449" t="inlineStr">
        <is>
          <t>NORRBOTTENS LÄN</t>
        </is>
      </c>
      <c r="G449" t="inlineStr">
        <is>
          <t>KALIX</t>
        </is>
      </c>
      <c r="I449" t="n">
        <v>16.9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46317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46317</v>
      </c>
      <c r="F451" t="inlineStr">
        <is>
          <t>NORRBOTTENS LÄN</t>
        </is>
      </c>
      <c r="G451" t="inlineStr">
        <is>
          <t>KALIX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46317</v>
      </c>
      <c r="F452" t="inlineStr">
        <is>
          <t>NORRBOTTENS LÄN</t>
        </is>
      </c>
      <c r="G452" t="inlineStr">
        <is>
          <t>KALIX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28155-2026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46195</v>
      </c>
      <c r="E453" s="1" t="n">
        <v>46317</v>
      </c>
      <c r="F453" t="inlineStr">
        <is>
          <t>NORRBOTTENS LÄN</t>
        </is>
      </c>
      <c r="G453" t="inlineStr">
        <is>
          <t>KALIX</t>
        </is>
      </c>
      <c r="I453" t="n">
        <v>8.800000000000001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46317</v>
      </c>
      <c r="F454" t="inlineStr">
        <is>
          <t>NORRBOTTENS LÄN</t>
        </is>
      </c>
      <c r="G454" t="inlineStr">
        <is>
          <t>KALIX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45282</v>
      </c>
      <c r="E455" s="1" t="n">
        <v>46317</v>
      </c>
      <c r="F455" t="inlineStr">
        <is>
          <t>NORRBOTTENS LÄN</t>
        </is>
      </c>
      <c r="G455" t="inlineStr">
        <is>
          <t>KALIX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45505</v>
      </c>
      <c r="E456" s="1" t="n">
        <v>46317</v>
      </c>
      <c r="F456" t="inlineStr">
        <is>
          <t>NORRBOTTENS LÄN</t>
        </is>
      </c>
      <c r="G456" t="inlineStr">
        <is>
          <t>KALIX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46317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45302</v>
      </c>
      <c r="E458" s="1" t="n">
        <v>46317</v>
      </c>
      <c r="F458" t="inlineStr">
        <is>
          <t>NORRBOTTENS LÄN</t>
        </is>
      </c>
      <c r="G458" t="inlineStr">
        <is>
          <t>KALIX</t>
        </is>
      </c>
      <c r="I458" t="n">
        <v>13.5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62135-2023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45266</v>
      </c>
      <c r="E459" s="1" t="n">
        <v>46317</v>
      </c>
      <c r="F459" t="inlineStr">
        <is>
          <t>NORRBOTTENS LÄN</t>
        </is>
      </c>
      <c r="G459" t="inlineStr">
        <is>
          <t>KALIX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45266</v>
      </c>
      <c r="E460" s="1" t="n">
        <v>46317</v>
      </c>
      <c r="F460" t="inlineStr">
        <is>
          <t>NORRBOTTENS LÄN</t>
        </is>
      </c>
      <c r="G460" t="inlineStr">
        <is>
          <t>KALIX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45266</v>
      </c>
      <c r="E461" s="1" t="n">
        <v>46317</v>
      </c>
      <c r="F461" t="inlineStr">
        <is>
          <t>NORRBOTTENS LÄN</t>
        </is>
      </c>
      <c r="G461" t="inlineStr">
        <is>
          <t>KALIX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29066-2026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46317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46317</v>
      </c>
      <c r="F463" t="inlineStr">
        <is>
          <t>NORRBOTTENS LÄN</t>
        </is>
      </c>
      <c r="G463" t="inlineStr">
        <is>
          <t>KALIX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45553</v>
      </c>
      <c r="E464" s="1" t="n">
        <v>46317</v>
      </c>
      <c r="F464" t="inlineStr">
        <is>
          <t>NORRBOTTENS LÄN</t>
        </is>
      </c>
      <c r="G464" t="inlineStr">
        <is>
          <t>KALIX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59021-2022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44903</v>
      </c>
      <c r="E465" s="1" t="n">
        <v>46317</v>
      </c>
      <c r="F465" t="inlineStr">
        <is>
          <t>NORRBOTTENS LÄN</t>
        </is>
      </c>
      <c r="G465" t="inlineStr">
        <is>
          <t>KALIX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46317</v>
      </c>
      <c r="F466" t="inlineStr">
        <is>
          <t>NORRBOTTENS LÄN</t>
        </is>
      </c>
      <c r="G466" t="inlineStr">
        <is>
          <t>KALIX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46317</v>
      </c>
      <c r="F467" t="inlineStr">
        <is>
          <t>NORRBOTTENS LÄN</t>
        </is>
      </c>
      <c r="G467" t="inlineStr">
        <is>
          <t>KALIX</t>
        </is>
      </c>
      <c r="H467" t="inlineStr">
        <is>
          <t>Sveaskog</t>
        </is>
      </c>
      <c r="I467" t="n">
        <v>13.2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45492</v>
      </c>
      <c r="E468" s="1" t="n">
        <v>46317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46317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46317</v>
      </c>
      <c r="F470" t="inlineStr">
        <is>
          <t>NORRBOTTENS LÄN</t>
        </is>
      </c>
      <c r="G470" t="inlineStr">
        <is>
          <t>KALIX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46317</v>
      </c>
      <c r="F471" t="inlineStr">
        <is>
          <t>NORRBOTTENS LÄN</t>
        </is>
      </c>
      <c r="G471" t="inlineStr">
        <is>
          <t>KALIX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45419</v>
      </c>
      <c r="E472" s="1" t="n">
        <v>46317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46317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46317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45510</v>
      </c>
      <c r="E475" s="1" t="n">
        <v>46317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45036</v>
      </c>
      <c r="E476" s="1" t="n">
        <v>46317</v>
      </c>
      <c r="F476" t="inlineStr">
        <is>
          <t>NORRBOTTENS LÄN</t>
        </is>
      </c>
      <c r="G476" t="inlineStr">
        <is>
          <t>KALIX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46317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46317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46221</v>
      </c>
      <c r="E479" s="1" t="n">
        <v>46317</v>
      </c>
      <c r="F479" t="inlineStr">
        <is>
          <t>NORRBOTTENS LÄN</t>
        </is>
      </c>
      <c r="G479" t="inlineStr">
        <is>
          <t>KALIX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8799-2025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45712</v>
      </c>
      <c r="E480" s="1" t="n">
        <v>46317</v>
      </c>
      <c r="F480" t="inlineStr">
        <is>
          <t>NORRBOTTENS LÄN</t>
        </is>
      </c>
      <c r="G480" t="inlineStr">
        <is>
          <t>KALIX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31667-2026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46225</v>
      </c>
      <c r="E481" s="1" t="n">
        <v>46317</v>
      </c>
      <c r="F481" t="inlineStr">
        <is>
          <t>NORRBOTTENS LÄN</t>
        </is>
      </c>
      <c r="G481" t="inlineStr">
        <is>
          <t>KALIX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46317</v>
      </c>
      <c r="F482" t="inlineStr">
        <is>
          <t>NORRBOTTENS LÄN</t>
        </is>
      </c>
      <c r="G482" t="inlineStr">
        <is>
          <t>KALIX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45259</v>
      </c>
      <c r="E483" s="1" t="n">
        <v>46317</v>
      </c>
      <c r="F483" t="inlineStr">
        <is>
          <t>NORRBOTTENS LÄN</t>
        </is>
      </c>
      <c r="G483" t="inlineStr">
        <is>
          <t>KALIX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32114-2026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46233</v>
      </c>
      <c r="E484" s="1" t="n">
        <v>46317</v>
      </c>
      <c r="F484" t="inlineStr">
        <is>
          <t>NORRBOTTENS LÄN</t>
        </is>
      </c>
      <c r="G484" t="inlineStr">
        <is>
          <t>KALIX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46275</v>
      </c>
      <c r="E485" s="1" t="n">
        <v>46317</v>
      </c>
      <c r="F485" t="inlineStr">
        <is>
          <t>NORRBOTTENS LÄN</t>
        </is>
      </c>
      <c r="G485" t="inlineStr">
        <is>
          <t>KALIX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59886-2024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45641</v>
      </c>
      <c r="E486" s="1" t="n">
        <v>46317</v>
      </c>
      <c r="F486" t="inlineStr">
        <is>
          <t>NORRBOTTENS LÄN</t>
        </is>
      </c>
      <c r="G486" t="inlineStr">
        <is>
          <t>KALIX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37492-2026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46275</v>
      </c>
      <c r="E487" s="1" t="n">
        <v>46317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35051-2023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45145</v>
      </c>
      <c r="E488" s="1" t="n">
        <v>46317</v>
      </c>
      <c r="F488" t="inlineStr">
        <is>
          <t>NORRBOTTENS LÄN</t>
        </is>
      </c>
      <c r="G488" t="inlineStr">
        <is>
          <t>KALIX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46275</v>
      </c>
      <c r="E489" s="1" t="n">
        <v>46317</v>
      </c>
      <c r="F489" t="inlineStr">
        <is>
          <t>NORRBOTTENS LÄN</t>
        </is>
      </c>
      <c r="G489" t="inlineStr">
        <is>
          <t>KALIX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32116-2026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46233</v>
      </c>
      <c r="E490" s="1" t="n">
        <v>46317</v>
      </c>
      <c r="F490" t="inlineStr">
        <is>
          <t>NORRBOTTENS LÄN</t>
        </is>
      </c>
      <c r="G490" t="inlineStr">
        <is>
          <t>KALIX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37407-2026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46275</v>
      </c>
      <c r="E491" s="1" t="n">
        <v>46317</v>
      </c>
      <c r="F491" t="inlineStr">
        <is>
          <t>NORRBOTTENS LÄN</t>
        </is>
      </c>
      <c r="G491" t="inlineStr">
        <is>
          <t>KALIX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45266</v>
      </c>
      <c r="E492" s="1" t="n">
        <v>46317</v>
      </c>
      <c r="F492" t="inlineStr">
        <is>
          <t>NORRBOTTENS LÄN</t>
        </is>
      </c>
      <c r="G492" t="inlineStr">
        <is>
          <t>KALIX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46317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45246</v>
      </c>
      <c r="E494" s="1" t="n">
        <v>46317</v>
      </c>
      <c r="F494" t="inlineStr">
        <is>
          <t>NORRBOTTENS LÄN</t>
        </is>
      </c>
      <c r="G494" t="inlineStr">
        <is>
          <t>KALIX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46317</v>
      </c>
      <c r="F495" t="inlineStr">
        <is>
          <t>NORRBOTTENS LÄN</t>
        </is>
      </c>
      <c r="G495" t="inlineStr">
        <is>
          <t>KALIX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45175</v>
      </c>
      <c r="E496" s="1" t="n">
        <v>46317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46317</v>
      </c>
      <c r="F497" t="inlineStr">
        <is>
          <t>NORRBOTTENS LÄN</t>
        </is>
      </c>
      <c r="G497" t="inlineStr">
        <is>
          <t>KALIX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46317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46317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44956</v>
      </c>
      <c r="E500" s="1" t="n">
        <v>46317</v>
      </c>
      <c r="F500" t="inlineStr">
        <is>
          <t>NORRBOTTENS LÄN</t>
        </is>
      </c>
      <c r="G500" t="inlineStr">
        <is>
          <t>KALIX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45730</v>
      </c>
      <c r="E501" s="1" t="n">
        <v>46317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45679</v>
      </c>
      <c r="E502" s="1" t="n">
        <v>46317</v>
      </c>
      <c r="F502" t="inlineStr">
        <is>
          <t>NORRBOTTENS LÄN</t>
        </is>
      </c>
      <c r="G502" t="inlineStr">
        <is>
          <t>KALIX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45159</v>
      </c>
      <c r="E503" s="1" t="n">
        <v>46317</v>
      </c>
      <c r="F503" t="inlineStr">
        <is>
          <t>NORRBOTTENS LÄN</t>
        </is>
      </c>
      <c r="G503" t="inlineStr">
        <is>
          <t>KALIX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45401</v>
      </c>
      <c r="E504" s="1" t="n">
        <v>46317</v>
      </c>
      <c r="F504" t="inlineStr">
        <is>
          <t>NORRBOTTENS LÄN</t>
        </is>
      </c>
      <c r="G504" t="inlineStr">
        <is>
          <t>KALIX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46317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46317</v>
      </c>
      <c r="F506" t="inlineStr">
        <is>
          <t>NORRBOTTENS LÄN</t>
        </is>
      </c>
      <c r="G506" t="inlineStr">
        <is>
          <t>KALIX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46282</v>
      </c>
      <c r="E507" s="1" t="n">
        <v>46317</v>
      </c>
      <c r="F507" t="inlineStr">
        <is>
          <t>NORRBOTTENS LÄN</t>
        </is>
      </c>
      <c r="G507" t="inlineStr">
        <is>
          <t>KALIX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46238</v>
      </c>
      <c r="E508" s="1" t="n">
        <v>46317</v>
      </c>
      <c r="F508" t="inlineStr">
        <is>
          <t>NORRBOTTENS LÄN</t>
        </is>
      </c>
      <c r="G508" t="inlineStr">
        <is>
          <t>KALIX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46317</v>
      </c>
      <c r="F509" t="inlineStr">
        <is>
          <t>NORRBOTTENS LÄN</t>
        </is>
      </c>
      <c r="G509" t="inlineStr">
        <is>
          <t>KALIX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46238</v>
      </c>
      <c r="E510" s="1" t="n">
        <v>46317</v>
      </c>
      <c r="F510" t="inlineStr">
        <is>
          <t>NORRBOTTENS LÄN</t>
        </is>
      </c>
      <c r="G510" t="inlineStr">
        <is>
          <t>KALIX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46282</v>
      </c>
      <c r="E511" s="1" t="n">
        <v>46317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58585-2022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44894</v>
      </c>
      <c r="E512" s="1" t="n">
        <v>46317</v>
      </c>
      <c r="F512" t="inlineStr">
        <is>
          <t>NORRBOTTENS LÄN</t>
        </is>
      </c>
      <c r="G512" t="inlineStr">
        <is>
          <t>KALIX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46317</v>
      </c>
      <c r="F513" t="inlineStr">
        <is>
          <t>NORRBOTTENS LÄN</t>
        </is>
      </c>
      <c r="G513" t="inlineStr">
        <is>
          <t>KALIX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45105</v>
      </c>
      <c r="E514" s="1" t="n">
        <v>46317</v>
      </c>
      <c r="F514" t="inlineStr">
        <is>
          <t>NORRBOTTENS LÄN</t>
        </is>
      </c>
      <c r="G514" t="inlineStr">
        <is>
          <t>KALIX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38799-2026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46317</v>
      </c>
      <c r="F515" t="inlineStr">
        <is>
          <t>NORRBOTTENS LÄN</t>
        </is>
      </c>
      <c r="G515" t="inlineStr">
        <is>
          <t>KALIX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44898</v>
      </c>
      <c r="E516" s="1" t="n">
        <v>46317</v>
      </c>
      <c r="F516" t="inlineStr">
        <is>
          <t>NORRBOTTENS LÄN</t>
        </is>
      </c>
      <c r="G516" t="inlineStr">
        <is>
          <t>KALIX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46317</v>
      </c>
      <c r="F517" t="inlineStr">
        <is>
          <t>NORRBOTTENS LÄN</t>
        </is>
      </c>
      <c r="G517" t="inlineStr">
        <is>
          <t>KALIX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46286</v>
      </c>
      <c r="E518" s="1" t="n">
        <v>46317</v>
      </c>
      <c r="F518" t="inlineStr">
        <is>
          <t>NORRBOTTENS LÄN</t>
        </is>
      </c>
      <c r="G518" t="inlineStr">
        <is>
          <t>KALIX</t>
        </is>
      </c>
      <c r="I518" t="n">
        <v>9.6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58182-2024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45632</v>
      </c>
      <c r="E519" s="1" t="n">
        <v>46317</v>
      </c>
      <c r="F519" t="inlineStr">
        <is>
          <t>NORRBOTTENS LÄN</t>
        </is>
      </c>
      <c r="G519" t="inlineStr">
        <is>
          <t>KALIX</t>
        </is>
      </c>
      <c r="I519" t="n">
        <v>17.4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46317</v>
      </c>
      <c r="F520" t="inlineStr">
        <is>
          <t>NORRBOTTENS LÄN</t>
        </is>
      </c>
      <c r="G520" t="inlineStr">
        <is>
          <t>KALIX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46317</v>
      </c>
      <c r="F521" t="inlineStr">
        <is>
          <t>NORRBOTTENS LÄN</t>
        </is>
      </c>
      <c r="G521" t="inlineStr">
        <is>
          <t>KALIX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46288</v>
      </c>
      <c r="E522" s="1" t="n">
        <v>46317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46317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45537</v>
      </c>
      <c r="E524" s="1" t="n">
        <v>46317</v>
      </c>
      <c r="F524" t="inlineStr">
        <is>
          <t>NORRBOTTENS LÄN</t>
        </is>
      </c>
      <c r="G524" t="inlineStr">
        <is>
          <t>KALIX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45054</v>
      </c>
      <c r="E525" s="1" t="n">
        <v>46317</v>
      </c>
      <c r="F525" t="inlineStr">
        <is>
          <t>NORRBOTTENS LÄN</t>
        </is>
      </c>
      <c r="G525" t="inlineStr">
        <is>
          <t>KALIX</t>
        </is>
      </c>
      <c r="I525" t="n">
        <v>8.800000000000001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46317</v>
      </c>
      <c r="F526" t="inlineStr">
        <is>
          <t>NORRBOTTENS LÄN</t>
        </is>
      </c>
      <c r="G526" t="inlineStr">
        <is>
          <t>KALIX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58999-2023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46317</v>
      </c>
      <c r="F527" t="inlineStr">
        <is>
          <t>NORRBOTTENS LÄN</t>
        </is>
      </c>
      <c r="G527" t="inlineStr">
        <is>
          <t>KALIX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46317</v>
      </c>
      <c r="F528" t="inlineStr">
        <is>
          <t>NORRBOTTENS LÄN</t>
        </is>
      </c>
      <c r="G528" t="inlineStr">
        <is>
          <t>KALIX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46317</v>
      </c>
      <c r="F529" t="inlineStr">
        <is>
          <t>NORRBOTTENS LÄN</t>
        </is>
      </c>
      <c r="G529" t="inlineStr">
        <is>
          <t>KALIX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46317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46317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39858-2026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46290</v>
      </c>
      <c r="E532" s="1" t="n">
        <v>46317</v>
      </c>
      <c r="F532" t="inlineStr">
        <is>
          <t>NORRBOTTENS LÄN</t>
        </is>
      </c>
      <c r="G532" t="inlineStr">
        <is>
          <t>KALIX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45719</v>
      </c>
      <c r="E533" s="1" t="n">
        <v>46317</v>
      </c>
      <c r="F533" t="inlineStr">
        <is>
          <t>NORRBOTTENS LÄN</t>
        </is>
      </c>
      <c r="G533" t="inlineStr">
        <is>
          <t>KALIX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45678</v>
      </c>
      <c r="E534" s="1" t="n">
        <v>46317</v>
      </c>
      <c r="F534" t="inlineStr">
        <is>
          <t>NORRBOTTENS LÄN</t>
        </is>
      </c>
      <c r="G534" t="inlineStr">
        <is>
          <t>KALIX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62979-2025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46317</v>
      </c>
      <c r="F535" t="inlineStr">
        <is>
          <t>NORRBOTTENS LÄN</t>
        </is>
      </c>
      <c r="G535" t="inlineStr">
        <is>
          <t>KALIX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46317</v>
      </c>
      <c r="F536" t="inlineStr">
        <is>
          <t>NORRBOTTENS LÄN</t>
        </is>
      </c>
      <c r="G536" t="inlineStr">
        <is>
          <t>KALIX</t>
        </is>
      </c>
      <c r="I536" t="n">
        <v>19.3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46317</v>
      </c>
      <c r="F537" t="inlineStr">
        <is>
          <t>NORRBOTTENS LÄN</t>
        </is>
      </c>
      <c r="G537" t="inlineStr">
        <is>
          <t>KALIX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46317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47154-2024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45586</v>
      </c>
      <c r="E539" s="1" t="n">
        <v>46317</v>
      </c>
      <c r="F539" t="inlineStr">
        <is>
          <t>NORRBOTTENS LÄN</t>
        </is>
      </c>
      <c r="G539" t="inlineStr">
        <is>
          <t>KALIX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45063</v>
      </c>
      <c r="E540" s="1" t="n">
        <v>46317</v>
      </c>
      <c r="F540" t="inlineStr">
        <is>
          <t>NORRBOTTENS LÄN</t>
        </is>
      </c>
      <c r="G540" t="inlineStr">
        <is>
          <t>KALIX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46246</v>
      </c>
      <c r="E541" s="1" t="n">
        <v>46317</v>
      </c>
      <c r="F541" t="inlineStr">
        <is>
          <t>NORRBOTTENS LÄN</t>
        </is>
      </c>
      <c r="G541" t="inlineStr">
        <is>
          <t>KALIX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46317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45237</v>
      </c>
      <c r="E543" s="1" t="n">
        <v>46317</v>
      </c>
      <c r="F543" t="inlineStr">
        <is>
          <t>NORRBOTTENS LÄN</t>
        </is>
      </c>
      <c r="G543" t="inlineStr">
        <is>
          <t>KALIX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41132-2023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46317</v>
      </c>
      <c r="F544" t="inlineStr">
        <is>
          <t>NORRBOTTENS LÄN</t>
        </is>
      </c>
      <c r="G544" t="inlineStr">
        <is>
          <t>KALIX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24616-2024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45460</v>
      </c>
      <c r="E545" s="1" t="n">
        <v>46317</v>
      </c>
      <c r="F545" t="inlineStr">
        <is>
          <t>NORRBOTTENS LÄN</t>
        </is>
      </c>
      <c r="G545" t="inlineStr">
        <is>
          <t>KALIX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39857-2026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46290</v>
      </c>
      <c r="E546" s="1" t="n">
        <v>46317</v>
      </c>
      <c r="F546" t="inlineStr">
        <is>
          <t>NORRBOTTENS LÄN</t>
        </is>
      </c>
      <c r="G546" t="inlineStr">
        <is>
          <t>KALIX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45058</v>
      </c>
      <c r="E547" s="1" t="n">
        <v>46317</v>
      </c>
      <c r="F547" t="inlineStr">
        <is>
          <t>NORRBOTTENS LÄN</t>
        </is>
      </c>
      <c r="G547" t="inlineStr">
        <is>
          <t>KALIX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46317</v>
      </c>
      <c r="F548" t="inlineStr">
        <is>
          <t>NORRBOTTENS LÄN</t>
        </is>
      </c>
      <c r="G548" t="inlineStr">
        <is>
          <t>KALIX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46317</v>
      </c>
      <c r="F549" t="inlineStr">
        <is>
          <t>NORRBOTTENS LÄN</t>
        </is>
      </c>
      <c r="G549" t="inlineStr">
        <is>
          <t>KALIX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45542</v>
      </c>
      <c r="E550" s="1" t="n">
        <v>46317</v>
      </c>
      <c r="F550" t="inlineStr">
        <is>
          <t>NORRBOTTENS LÄN</t>
        </is>
      </c>
      <c r="G550" t="inlineStr">
        <is>
          <t>KALIX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33657-2026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46248</v>
      </c>
      <c r="E551" s="1" t="n">
        <v>46317</v>
      </c>
      <c r="F551" t="inlineStr">
        <is>
          <t>NORRBOTTENS LÄN</t>
        </is>
      </c>
      <c r="G551" t="inlineStr">
        <is>
          <t>KALIX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46317</v>
      </c>
      <c r="F552" t="inlineStr">
        <is>
          <t>NORRBOTTENS LÄN</t>
        </is>
      </c>
      <c r="G552" t="inlineStr">
        <is>
          <t>KALIX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46317</v>
      </c>
      <c r="F553" t="inlineStr">
        <is>
          <t>NORRBOTTENS LÄN</t>
        </is>
      </c>
      <c r="G553" t="inlineStr">
        <is>
          <t>KALIX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34066-2026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46252</v>
      </c>
      <c r="E554" s="1" t="n">
        <v>46317</v>
      </c>
      <c r="F554" t="inlineStr">
        <is>
          <t>NORRBOTTENS LÄN</t>
        </is>
      </c>
      <c r="G554" t="inlineStr">
        <is>
          <t>KALIX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44970</v>
      </c>
      <c r="E555" s="1" t="n">
        <v>46317</v>
      </c>
      <c r="F555" t="inlineStr">
        <is>
          <t>NORRBOTTENS LÄN</t>
        </is>
      </c>
      <c r="G555" t="inlineStr">
        <is>
          <t>KALIX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44964</v>
      </c>
      <c r="E556" s="1" t="n">
        <v>46317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46317</v>
      </c>
      <c r="F557" t="inlineStr">
        <is>
          <t>NORRBOTTENS LÄN</t>
        </is>
      </c>
      <c r="G557" t="inlineStr">
        <is>
          <t>KALIX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45638</v>
      </c>
      <c r="E558" s="1" t="n">
        <v>46317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46317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45660</v>
      </c>
      <c r="E560" s="1" t="n">
        <v>46317</v>
      </c>
      <c r="F560" t="inlineStr">
        <is>
          <t>NORRBOTTENS LÄN</t>
        </is>
      </c>
      <c r="G560" t="inlineStr">
        <is>
          <t>KALIX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13380-2023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45005</v>
      </c>
      <c r="E561" s="1" t="n">
        <v>46317</v>
      </c>
      <c r="F561" t="inlineStr">
        <is>
          <t>NORRBOTTENS LÄN</t>
        </is>
      </c>
      <c r="G561" t="inlineStr">
        <is>
          <t>KALIX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40779-2026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46296</v>
      </c>
      <c r="E562" s="1" t="n">
        <v>46317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46317</v>
      </c>
      <c r="F563" t="inlineStr">
        <is>
          <t>NORRBOTTENS LÄN</t>
        </is>
      </c>
      <c r="G563" t="inlineStr">
        <is>
          <t>KALIX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45667</v>
      </c>
      <c r="E564" s="1" t="n">
        <v>46317</v>
      </c>
      <c r="F564" t="inlineStr">
        <is>
          <t>NORRBOTTENS LÄN</t>
        </is>
      </c>
      <c r="G564" t="inlineStr">
        <is>
          <t>KALIX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46317</v>
      </c>
      <c r="F565" t="inlineStr">
        <is>
          <t>NORRBOTTENS LÄN</t>
        </is>
      </c>
      <c r="G565" t="inlineStr">
        <is>
          <t>KALIX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45777</v>
      </c>
      <c r="E566" s="1" t="n">
        <v>46317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46317</v>
      </c>
      <c r="F567" t="inlineStr">
        <is>
          <t>NORRBOTTENS LÄN</t>
        </is>
      </c>
      <c r="G567" t="inlineStr">
        <is>
          <t>KALIX</t>
        </is>
      </c>
      <c r="H567" t="inlineStr">
        <is>
          <t>Sveaskog</t>
        </is>
      </c>
      <c r="I567" t="n">
        <v>17.8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46317</v>
      </c>
      <c r="F568" t="inlineStr">
        <is>
          <t>NORRBOTTENS LÄN</t>
        </is>
      </c>
      <c r="G568" t="inlineStr">
        <is>
          <t>KALIX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21875-2025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45784</v>
      </c>
      <c r="E569" s="1" t="n">
        <v>46317</v>
      </c>
      <c r="F569" t="inlineStr">
        <is>
          <t>NORRBOTTENS LÄN</t>
        </is>
      </c>
      <c r="G569" t="inlineStr">
        <is>
          <t>KALIX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47429-2025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45930</v>
      </c>
      <c r="E570" s="1" t="n">
        <v>46317</v>
      </c>
      <c r="F570" t="inlineStr">
        <is>
          <t>NORRBOTTENS LÄN</t>
        </is>
      </c>
      <c r="G570" t="inlineStr">
        <is>
          <t>KALIX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16046-2024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45405</v>
      </c>
      <c r="E571" s="1" t="n">
        <v>46317</v>
      </c>
      <c r="F571" t="inlineStr">
        <is>
          <t>NORRBOTTENS LÄN</t>
        </is>
      </c>
      <c r="G571" t="inlineStr">
        <is>
          <t>KALIX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12851-2026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46317</v>
      </c>
      <c r="F572" t="inlineStr">
        <is>
          <t>NORRBOTTENS LÄN</t>
        </is>
      </c>
      <c r="G572" t="inlineStr">
        <is>
          <t>KALIX</t>
        </is>
      </c>
      <c r="I572" t="n">
        <v>13.6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46317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62525-2022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44917</v>
      </c>
      <c r="E574" s="1" t="n">
        <v>46317</v>
      </c>
      <c r="F574" t="inlineStr">
        <is>
          <t>NORRBOTTENS LÄN</t>
        </is>
      </c>
      <c r="G574" t="inlineStr">
        <is>
          <t>KALIX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46317</v>
      </c>
      <c r="F575" t="inlineStr">
        <is>
          <t>NORRBOTTENS LÄN</t>
        </is>
      </c>
      <c r="G575" t="inlineStr">
        <is>
          <t>KALIX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45748</v>
      </c>
      <c r="E576" s="1" t="n">
        <v>46317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46317</v>
      </c>
      <c r="F577" t="inlineStr">
        <is>
          <t>NORRBOTTENS LÄN</t>
        </is>
      </c>
      <c r="G577" t="inlineStr">
        <is>
          <t>KALIX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46317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46317</v>
      </c>
      <c r="F579" t="inlineStr">
        <is>
          <t>NORRBOTTENS LÄN</t>
        </is>
      </c>
      <c r="G579" t="inlineStr">
        <is>
          <t>KALIX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46317</v>
      </c>
      <c r="F580" t="inlineStr">
        <is>
          <t>NORRBOTTENS LÄN</t>
        </is>
      </c>
      <c r="G580" t="inlineStr">
        <is>
          <t>KALIX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46317</v>
      </c>
      <c r="F581" t="inlineStr">
        <is>
          <t>NORRBOTTENS LÄN</t>
        </is>
      </c>
      <c r="G581" t="inlineStr">
        <is>
          <t>KALIX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46310</v>
      </c>
      <c r="E582" s="1" t="n">
        <v>46317</v>
      </c>
      <c r="F582" t="inlineStr">
        <is>
          <t>NORRBOTTENS LÄN</t>
        </is>
      </c>
      <c r="G582" t="inlineStr">
        <is>
          <t>KALIX</t>
        </is>
      </c>
      <c r="I582" t="n">
        <v>11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46310</v>
      </c>
      <c r="E583" s="1" t="n">
        <v>46317</v>
      </c>
      <c r="F583" t="inlineStr">
        <is>
          <t>NORRBOTTENS LÄN</t>
        </is>
      </c>
      <c r="G583" t="inlineStr">
        <is>
          <t>KALIX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46310</v>
      </c>
      <c r="E584" s="1" t="n">
        <v>46317</v>
      </c>
      <c r="F584" t="inlineStr">
        <is>
          <t>NORRBOTTENS LÄN</t>
        </is>
      </c>
      <c r="G584" t="inlineStr">
        <is>
          <t>KALIX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46310</v>
      </c>
      <c r="E585" s="1" t="n">
        <v>46317</v>
      </c>
      <c r="F585" t="inlineStr">
        <is>
          <t>NORRBOTTENS LÄN</t>
        </is>
      </c>
      <c r="G585" t="inlineStr">
        <is>
          <t>KALIX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46267</v>
      </c>
      <c r="E586" s="1" t="n">
        <v>46317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46267</v>
      </c>
      <c r="E587" s="1" t="n">
        <v>46317</v>
      </c>
      <c r="F587" t="inlineStr">
        <is>
          <t>NORRBOTTENS LÄN</t>
        </is>
      </c>
      <c r="G587" t="inlineStr">
        <is>
          <t>KALIX</t>
        </is>
      </c>
      <c r="H587" t="inlineStr">
        <is>
          <t>SCA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46267</v>
      </c>
      <c r="E588" s="1" t="n">
        <v>46317</v>
      </c>
      <c r="F588" t="inlineStr">
        <is>
          <t>NORRBOTTENS LÄN</t>
        </is>
      </c>
      <c r="G588" t="inlineStr">
        <is>
          <t>KALIX</t>
        </is>
      </c>
      <c r="H588" t="inlineStr">
        <is>
          <t>SCA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46267</v>
      </c>
      <c r="E589" s="1" t="n">
        <v>46317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43181-2026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46312</v>
      </c>
      <c r="E590" s="1" t="n">
        <v>46317</v>
      </c>
      <c r="F590" t="inlineStr">
        <is>
          <t>NORRBOTTENS LÄN</t>
        </is>
      </c>
      <c r="G590" t="inlineStr">
        <is>
          <t>KALIX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46312</v>
      </c>
      <c r="E591" s="1" t="n">
        <v>46317</v>
      </c>
      <c r="F591" t="inlineStr">
        <is>
          <t>NORRBOTTENS LÄN</t>
        </is>
      </c>
      <c r="G591" t="inlineStr">
        <is>
          <t>KALIX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43180-2026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46312</v>
      </c>
      <c r="E592" s="1" t="n">
        <v>46317</v>
      </c>
      <c r="F592" t="inlineStr">
        <is>
          <t>NORRBOTTENS LÄN</t>
        </is>
      </c>
      <c r="G592" t="inlineStr">
        <is>
          <t>KALIX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36571-2026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46317</v>
      </c>
      <c r="F593" t="inlineStr">
        <is>
          <t>NORRBOTTENS LÄN</t>
        </is>
      </c>
      <c r="G593" t="inlineStr">
        <is>
          <t>KALIX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43397-2026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46310</v>
      </c>
      <c r="E594" s="1" t="n">
        <v>46317</v>
      </c>
      <c r="F594" t="inlineStr">
        <is>
          <t>NORRBOTTENS LÄN</t>
        </is>
      </c>
      <c r="G594" t="inlineStr">
        <is>
          <t>KALIX</t>
        </is>
      </c>
      <c r="I594" t="n">
        <v>26.7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43440-2026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46314</v>
      </c>
      <c r="E595" s="1" t="n">
        <v>46317</v>
      </c>
      <c r="F595" t="inlineStr">
        <is>
          <t>NORRBOTTENS LÄN</t>
        </is>
      </c>
      <c r="G595" t="inlineStr">
        <is>
          <t>KALIX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46274</v>
      </c>
      <c r="E596" s="1" t="n">
        <v>46317</v>
      </c>
      <c r="F596" t="inlineStr">
        <is>
          <t>NORRBOTTENS LÄN</t>
        </is>
      </c>
      <c r="G596" t="inlineStr">
        <is>
          <t>KALIX</t>
        </is>
      </c>
      <c r="I596" t="n">
        <v>11.7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36845-2026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46272</v>
      </c>
      <c r="E597" s="1" t="n">
        <v>46317</v>
      </c>
      <c r="F597" t="inlineStr">
        <is>
          <t>NORRBOTTENS LÄN</t>
        </is>
      </c>
      <c r="G597" t="inlineStr">
        <is>
          <t>KALIX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37193-2026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46274</v>
      </c>
      <c r="E598" s="1" t="n">
        <v>46317</v>
      </c>
      <c r="F598" t="inlineStr">
        <is>
          <t>NORRBOTTENS LÄN</t>
        </is>
      </c>
      <c r="G598" t="inlineStr">
        <is>
          <t>KALIX</t>
        </is>
      </c>
      <c r="I598" t="n">
        <v>16.4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2172-2022</t>
        </is>
      </c>
      <c r="B599" t="inlineStr">
        <is>
          <t>samrådsanmälan</t>
        </is>
      </c>
      <c r="C599" t="inlineStr">
        <is>
          <t>Skogsbilväg</t>
        </is>
      </c>
      <c r="D599" s="1" t="n">
        <v>44678</v>
      </c>
      <c r="E599" s="1" t="n">
        <v>46317</v>
      </c>
      <c r="F599" t="inlineStr">
        <is>
          <t>NORRBOTTENS LÄN</t>
        </is>
      </c>
      <c r="G599" t="inlineStr">
        <is>
          <t>KALIX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1138-2024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45393</v>
      </c>
      <c r="E600" s="1" t="n">
        <v>46317</v>
      </c>
      <c r="F600" t="inlineStr">
        <is>
          <t>NORRBOTTENS LÄN</t>
        </is>
      </c>
      <c r="G600" t="inlineStr">
        <is>
          <t>KALIX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1658-2023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45061</v>
      </c>
      <c r="E601" s="1" t="n">
        <v>46317</v>
      </c>
      <c r="F601" t="inlineStr">
        <is>
          <t>NORRBOTTENS LÄN</t>
        </is>
      </c>
      <c r="G601" t="inlineStr">
        <is>
          <t>KALIX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157-2023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44944</v>
      </c>
      <c r="E602" s="1" t="n">
        <v>46317</v>
      </c>
      <c r="F602" t="inlineStr">
        <is>
          <t>NORRBOTTENS LÄN</t>
        </is>
      </c>
      <c r="G602" t="inlineStr">
        <is>
          <t>KALIX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1139-2024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45393</v>
      </c>
      <c r="E603" s="1" t="n">
        <v>46317</v>
      </c>
      <c r="F603" t="inlineStr">
        <is>
          <t>NORRBOTTENS LÄN</t>
        </is>
      </c>
      <c r="G603" t="inlineStr">
        <is>
          <t>KALIX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1659-2023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45061</v>
      </c>
      <c r="E604" s="1" t="n">
        <v>46317</v>
      </c>
      <c r="F604" t="inlineStr">
        <is>
          <t>NORRBOTTENS LÄN</t>
        </is>
      </c>
      <c r="G604" t="inlineStr">
        <is>
          <t>KALIX</t>
        </is>
      </c>
      <c r="I604" t="n">
        <v>17.1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1131-2024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45393</v>
      </c>
      <c r="E605" s="1" t="n">
        <v>46317</v>
      </c>
      <c r="F605" t="inlineStr">
        <is>
          <t>NORRBOTTENS LÄN</t>
        </is>
      </c>
      <c r="G605" t="inlineStr">
        <is>
          <t>KALIX</t>
        </is>
      </c>
      <c r="I605" t="n">
        <v>12.6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1656-2023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45061</v>
      </c>
      <c r="E606" s="1" t="n">
        <v>46317</v>
      </c>
      <c r="F606" t="inlineStr">
        <is>
          <t>NORRBOTTENS LÄN</t>
        </is>
      </c>
      <c r="G606" t="inlineStr">
        <is>
          <t>KALIX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961-2024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45383</v>
      </c>
      <c r="E607" s="1" t="n">
        <v>46317</v>
      </c>
      <c r="F607" t="inlineStr">
        <is>
          <t>NORRBOTTENS LÄN</t>
        </is>
      </c>
      <c r="G607" t="inlineStr">
        <is>
          <t>KALIX</t>
        </is>
      </c>
      <c r="H607" t="inlineStr">
        <is>
          <t>Sveaskog</t>
        </is>
      </c>
      <c r="I607" t="n">
        <v>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849-2025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45733</v>
      </c>
      <c r="E608" s="1" t="n">
        <v>46317</v>
      </c>
      <c r="F608" t="inlineStr">
        <is>
          <t>NORRBOTTENS LÄN</t>
        </is>
      </c>
      <c r="G608" t="inlineStr">
        <is>
          <t>KALIX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1018-2025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45747</v>
      </c>
      <c r="E609" s="1" t="n">
        <v>46317</v>
      </c>
      <c r="F609" t="inlineStr">
        <is>
          <t>NORRBOTTENS LÄN</t>
        </is>
      </c>
      <c r="G609" t="inlineStr">
        <is>
          <t>KALIX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1019-2025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45747</v>
      </c>
      <c r="E610" s="1" t="n">
        <v>46317</v>
      </c>
      <c r="F610" t="inlineStr">
        <is>
          <t>NORRBOTTENS LÄN</t>
        </is>
      </c>
      <c r="G610" t="inlineStr">
        <is>
          <t>KALIX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1176-2025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45756</v>
      </c>
      <c r="E611" s="1" t="n">
        <v>46317</v>
      </c>
      <c r="F611" t="inlineStr">
        <is>
          <t>NORRBOTTENS LÄN</t>
        </is>
      </c>
      <c r="G611" t="inlineStr">
        <is>
          <t>KALIX</t>
        </is>
      </c>
      <c r="I611" t="n">
        <v>17.6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1356-2025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45775</v>
      </c>
      <c r="E612" s="1" t="n">
        <v>46317</v>
      </c>
      <c r="F612" t="inlineStr">
        <is>
          <t>NORRBOTTENS LÄN</t>
        </is>
      </c>
      <c r="G612" t="inlineStr">
        <is>
          <t>KALIX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1355-2025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45775</v>
      </c>
      <c r="E613" s="1" t="n">
        <v>46317</v>
      </c>
      <c r="F613" t="inlineStr">
        <is>
          <t>NORRBOTTENS LÄN</t>
        </is>
      </c>
      <c r="G613" t="inlineStr">
        <is>
          <t>KALIX</t>
        </is>
      </c>
      <c r="I613" t="n">
        <v>36.9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1493-2026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46162</v>
      </c>
      <c r="E614" s="1" t="n">
        <v>46317</v>
      </c>
      <c r="F614" t="inlineStr">
        <is>
          <t>NORRBOTTENS LÄN</t>
        </is>
      </c>
      <c r="G614" t="inlineStr">
        <is>
          <t>KALIX</t>
        </is>
      </c>
      <c r="I614" t="n">
        <v>13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1798-2026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46190</v>
      </c>
      <c r="E615" s="1" t="n">
        <v>46317</v>
      </c>
      <c r="F615" t="inlineStr">
        <is>
          <t>NORRBOTTENS LÄN</t>
        </is>
      </c>
      <c r="G615" t="inlineStr">
        <is>
          <t>KALIX</t>
        </is>
      </c>
      <c r="I615" t="n">
        <v>12.8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1797-2026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46190</v>
      </c>
      <c r="E616" s="1" t="n">
        <v>46317</v>
      </c>
      <c r="F616" t="inlineStr">
        <is>
          <t>NORRBOTTENS LÄN</t>
        </is>
      </c>
      <c r="G616" t="inlineStr">
        <is>
          <t>KALIX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2026-10-22T01:57:36Z</dcterms:created>
  <dcterms:modified xmlns:dcterms="http://purl.org/dc/terms/" xmlns:xsi="http://www.w3.org/2001/XMLSchema-instance" xsi:type="dcterms:W3CDTF">2026-10-22T01:57:37Z</dcterms:modified>
</cp:coreProperties>
</file>